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108" codeName="{6BE1CDB9-6C1C-A5B6-3FC1-E231EC3C600E}"/>
  <workbookPr codeName="ЭтаКнига1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/Users/tohashilin/PycharmProjects/pythonProject/"/>
    </mc:Choice>
  </mc:AlternateContent>
  <xr:revisionPtr revIDLastSave="0" documentId="13_ncr:1_{051EB139-FACC-094A-82E0-C1619D0490DA}" xr6:coauthVersionLast="45" xr6:coauthVersionMax="45" xr10:uidLastSave="{00000000-0000-0000-0000-000000000000}"/>
  <bookViews>
    <workbookView xWindow="0" yWindow="0" windowWidth="33600" windowHeight="21000" tabRatio="551" firstSheet="1" activeTab="1" xr2:uid="{00000000-000D-0000-FFFF-FFFF00000000}"/>
  </bookViews>
  <sheets>
    <sheet name="DATAPAGE" sheetId="1" r:id="rId1"/>
    <sheet name="Отчет по объему" sheetId="2" r:id="rId2"/>
    <sheet name="Отчёт по Массе" sheetId="3" state="hidden" r:id="rId3"/>
    <sheet name="Лист1" sheetId="4" r:id="rId4"/>
    <sheet name="Лист2" sheetId="5" state="hidden" r:id="rId5"/>
  </sheets>
  <definedNames>
    <definedName name="_xlnm.Print_Area" localSheetId="1">'Отчет по объему'!$A$1:$K$56</definedName>
  </definedNames>
  <calcPr calcId="191029"/>
</workbook>
</file>

<file path=xl/calcChain.xml><?xml version="1.0" encoding="utf-8"?>
<calcChain xmlns="http://schemas.openxmlformats.org/spreadsheetml/2006/main">
  <c r="H19" i="4" l="1"/>
  <c r="H18" i="4"/>
  <c r="H17" i="4"/>
  <c r="B28" i="3" l="1"/>
  <c r="C28" i="3"/>
  <c r="E28" i="3"/>
  <c r="F28" i="3"/>
  <c r="H28" i="3"/>
  <c r="I28" i="3"/>
  <c r="J28" i="3"/>
  <c r="B29" i="3"/>
  <c r="C29" i="3"/>
  <c r="E29" i="3"/>
  <c r="F29" i="3"/>
  <c r="H29" i="3"/>
  <c r="I29" i="3"/>
  <c r="J29" i="3"/>
  <c r="B30" i="3"/>
  <c r="C30" i="3"/>
  <c r="E30" i="3"/>
  <c r="F30" i="3"/>
  <c r="H30" i="3"/>
  <c r="I30" i="3"/>
  <c r="J30" i="3"/>
  <c r="B31" i="3"/>
  <c r="C31" i="3"/>
  <c r="E31" i="3"/>
  <c r="F31" i="3"/>
  <c r="H31" i="3"/>
  <c r="I31" i="3"/>
  <c r="J31" i="3"/>
  <c r="B32" i="3"/>
  <c r="C32" i="3"/>
  <c r="E32" i="3"/>
  <c r="F32" i="3"/>
  <c r="H32" i="3"/>
  <c r="I32" i="3"/>
  <c r="J32" i="3"/>
  <c r="B33" i="3"/>
  <c r="C33" i="3"/>
  <c r="E33" i="3"/>
  <c r="F33" i="3"/>
  <c r="H33" i="3"/>
  <c r="I33" i="3"/>
  <c r="J33" i="3"/>
  <c r="B34" i="3"/>
  <c r="C34" i="3"/>
  <c r="E34" i="3"/>
  <c r="F34" i="3"/>
  <c r="H34" i="3"/>
  <c r="I34" i="3"/>
  <c r="J34" i="3"/>
  <c r="B35" i="3"/>
  <c r="C35" i="3"/>
  <c r="E35" i="3"/>
  <c r="F35" i="3"/>
  <c r="H35" i="3"/>
  <c r="I35" i="3"/>
  <c r="J35" i="3"/>
  <c r="B36" i="3"/>
  <c r="C36" i="3"/>
  <c r="E36" i="3"/>
  <c r="F36" i="3"/>
  <c r="H36" i="3"/>
  <c r="I36" i="3"/>
  <c r="J36" i="3"/>
  <c r="F44" i="3"/>
  <c r="F45" i="3"/>
  <c r="F46" i="3"/>
  <c r="D28" i="3" l="1"/>
  <c r="D30" i="3"/>
  <c r="D29" i="3"/>
  <c r="G28" i="3"/>
  <c r="G32" i="3"/>
  <c r="D31" i="3"/>
  <c r="G30" i="3"/>
  <c r="G29" i="3"/>
  <c r="D33" i="3"/>
  <c r="G31" i="3"/>
  <c r="D35" i="3"/>
  <c r="G34" i="3"/>
  <c r="G33" i="3"/>
  <c r="G36" i="3"/>
  <c r="G35" i="3"/>
  <c r="D36" i="3"/>
  <c r="D34" i="3"/>
  <c r="D32" i="3"/>
</calcChain>
</file>

<file path=xl/sharedStrings.xml><?xml version="1.0" encoding="utf-8"?>
<sst xmlns="http://schemas.openxmlformats.org/spreadsheetml/2006/main" count="719" uniqueCount="505">
  <si>
    <t>Gизм</t>
  </si>
  <si>
    <t>Gобр</t>
  </si>
  <si>
    <t>Погр.</t>
  </si>
  <si>
    <t>M/Vизм</t>
  </si>
  <si>
    <t>M/Vобр</t>
  </si>
  <si>
    <t>Погр</t>
  </si>
  <si>
    <t>Тип прибора</t>
  </si>
  <si>
    <t>Диапазон измерения</t>
  </si>
  <si>
    <t>Температура окружающей среды</t>
  </si>
  <si>
    <t>Погр., %</t>
  </si>
  <si>
    <t>Заводской номер прибора</t>
  </si>
  <si>
    <t>Точка поверки</t>
  </si>
  <si>
    <t>Госповеритель __________________________</t>
  </si>
  <si>
    <t>Gизм, т/ч</t>
  </si>
  <si>
    <t>Gобр, т/ч</t>
  </si>
  <si>
    <t>Mизм, т</t>
  </si>
  <si>
    <t>Мобр, т</t>
  </si>
  <si>
    <t>Температура</t>
  </si>
  <si>
    <t>Плотность</t>
  </si>
  <si>
    <t>Время</t>
  </si>
  <si>
    <t>Tср., °С</t>
  </si>
  <si>
    <t>Время изм., с</t>
  </si>
  <si>
    <t>Принадлежит</t>
  </si>
  <si>
    <t>%</t>
  </si>
  <si>
    <t>Республиканское унитарное предприятие</t>
  </si>
  <si>
    <t>"Белорусский государственный институт метрологии"</t>
  </si>
  <si>
    <t>Допустимая погрешность измерения</t>
  </si>
  <si>
    <t>Тип поверочной установки:</t>
  </si>
  <si>
    <t>Влажность</t>
  </si>
  <si>
    <t xml:space="preserve">1. Внешний осмотр </t>
  </si>
  <si>
    <t>При проведении внешнего осмотра повреждений  корпуса расходомера</t>
  </si>
  <si>
    <t>не обнаружено.</t>
  </si>
  <si>
    <t>2. Опробование</t>
  </si>
  <si>
    <t xml:space="preserve">       Результаты опробования соответствуют требованиям технической</t>
  </si>
  <si>
    <t>документации.</t>
  </si>
  <si>
    <t xml:space="preserve">                                               </t>
  </si>
  <si>
    <r>
      <t xml:space="preserve">     </t>
    </r>
    <r>
      <rPr>
        <sz val="11"/>
        <rFont val="Arial"/>
        <family val="2"/>
        <charset val="204"/>
      </rPr>
      <t>годен (не годен)</t>
    </r>
  </si>
  <si>
    <t>массового расходомера</t>
  </si>
  <si>
    <t>ПО "Беларуськалий"</t>
  </si>
  <si>
    <r>
      <t>r</t>
    </r>
    <r>
      <rPr>
        <sz val="11"/>
        <rFont val="Arial"/>
        <family val="2"/>
        <charset val="204"/>
      </rPr>
      <t>, кг/м</t>
    </r>
    <r>
      <rPr>
        <vertAlign val="superscript"/>
        <sz val="11"/>
        <rFont val="Arial"/>
        <family val="2"/>
        <charset val="204"/>
      </rPr>
      <t>3</t>
    </r>
  </si>
  <si>
    <t xml:space="preserve">  Эталон расхода воды №001,  </t>
  </si>
  <si>
    <t xml:space="preserve">    +-0.15%+-(0.2/Qизм)*100%</t>
  </si>
  <si>
    <t>3 Определение метрологических характеристик:</t>
  </si>
  <si>
    <t>3.1 Определение относительной погрешности измерения массового расхода</t>
  </si>
  <si>
    <t>Ду</t>
  </si>
  <si>
    <t>3.2 Определение погрешности токового выходного сигнала</t>
  </si>
  <si>
    <t xml:space="preserve">Точка </t>
  </si>
  <si>
    <t>Имитируемое</t>
  </si>
  <si>
    <t>Измеренное</t>
  </si>
  <si>
    <t>Погрешность</t>
  </si>
  <si>
    <t>Допустимое</t>
  </si>
  <si>
    <t>поверки</t>
  </si>
  <si>
    <t>значение выход-</t>
  </si>
  <si>
    <t xml:space="preserve">значение </t>
  </si>
  <si>
    <t>ного сигнала</t>
  </si>
  <si>
    <t>погрешности</t>
  </si>
  <si>
    <t>мА</t>
  </si>
  <si>
    <t xml:space="preserve">                      предел допускаемой относительной погрешности - 0.03%</t>
  </si>
  <si>
    <t xml:space="preserve">                        диапазон измерения массового расхода (0.06-300) т/ч, </t>
  </si>
  <si>
    <t>PROMASS 63I</t>
  </si>
  <si>
    <t>8 мм</t>
  </si>
  <si>
    <t>60-2000 кг/ч</t>
  </si>
  <si>
    <t>16 °С</t>
  </si>
  <si>
    <r>
      <t xml:space="preserve">Дата поверки:  </t>
    </r>
    <r>
      <rPr>
        <u/>
        <sz val="11"/>
        <rFont val="Arial"/>
        <family val="2"/>
        <charset val="204"/>
      </rPr>
      <t xml:space="preserve"> 26.12.2005                                        </t>
    </r>
  </si>
  <si>
    <t>76  71305</t>
  </si>
  <si>
    <r>
      <t>Заключение: по результатам поверки расходомер</t>
    </r>
    <r>
      <rPr>
        <u/>
        <sz val="12"/>
        <rFont val="Arial"/>
        <family val="2"/>
        <charset val="204"/>
      </rPr>
      <t xml:space="preserve">                 </t>
    </r>
  </si>
  <si>
    <t>ПРОТОКОЛ ПОВЕРКИ №66.1-4/49</t>
  </si>
  <si>
    <t>температура воздуха:</t>
  </si>
  <si>
    <t>относительная влажность воздуха:</t>
  </si>
  <si>
    <t>атмосферное давление:</t>
  </si>
  <si>
    <t>Расход</t>
  </si>
  <si>
    <t>БелГИМ</t>
  </si>
  <si>
    <t>Mобр, т</t>
  </si>
  <si>
    <t>Наименование лаборатории проведения поверки</t>
  </si>
  <si>
    <t>Gобр,  т/ч</t>
  </si>
  <si>
    <t>Определение погрешности токового выходного сигнала</t>
  </si>
  <si>
    <t>поверка расходомера массового</t>
  </si>
  <si>
    <t>Диаметр условного прохода, мм.</t>
  </si>
  <si>
    <t>ОАО "Савушкин продукт"</t>
  </si>
  <si>
    <t>Promass</t>
  </si>
  <si>
    <t>Promag</t>
  </si>
  <si>
    <t>Magflo</t>
  </si>
  <si>
    <t>Admag</t>
  </si>
  <si>
    <t>от 0,0283 до 2,8274 м3/ч</t>
  </si>
  <si>
    <t>от 0,0637 до 6,361 м3/ч</t>
  </si>
  <si>
    <t>от 0,1768 до 17,671 м3/ч</t>
  </si>
  <si>
    <t>от 0,2897 до 28,967 м3/ч</t>
  </si>
  <si>
    <t>от 0,4524 до 45,23 м3/ч</t>
  </si>
  <si>
    <t>от 0,7069 до 70,68 м3/ч</t>
  </si>
  <si>
    <t>от 1,1946 до 119,45 м3/ч</t>
  </si>
  <si>
    <t>от 1,8096 до 180,95 м3/ч</t>
  </si>
  <si>
    <t>от 2,8275 до 282,74 м3/ч</t>
  </si>
  <si>
    <t>от 4,418 до 441,7 м3/ч</t>
  </si>
  <si>
    <t>от 6,362 до 636,1 м3/ч</t>
  </si>
  <si>
    <t>от 11,310 до 1130,9 м3/ч</t>
  </si>
  <si>
    <t>Заводской номер</t>
  </si>
  <si>
    <t>МП.МН 1352-2004</t>
  </si>
  <si>
    <t>МП.ВТ. 007-2000</t>
  </si>
  <si>
    <t>МП.МН 898-2000</t>
  </si>
  <si>
    <t>Flag_EH</t>
  </si>
  <si>
    <t>MassFlo</t>
  </si>
  <si>
    <t>МП.МН 931-2001</t>
  </si>
  <si>
    <t>Promass 83F</t>
  </si>
  <si>
    <t>Promag 53H</t>
  </si>
  <si>
    <t>Promag 50H</t>
  </si>
  <si>
    <t>MagFlo 6000/1100</t>
  </si>
  <si>
    <t>MagFlo 5000/1100</t>
  </si>
  <si>
    <t>MassFlo 6000/2100</t>
  </si>
  <si>
    <t>Точки графика</t>
  </si>
  <si>
    <t>ЗАО "Плава РБ"</t>
  </si>
  <si>
    <t>МП.ВТ 009-2000</t>
  </si>
  <si>
    <t>от 0,045 до 1 т/ч</t>
  </si>
  <si>
    <t>от 0,180 до 5,6 т/ч</t>
  </si>
  <si>
    <t>от 1,345 до 25 т/ч</t>
  </si>
  <si>
    <t>от 5,370 до 52 т/ч</t>
  </si>
  <si>
    <t>CNGmass</t>
  </si>
  <si>
    <t>от 0,048 до 4,8 т/ч</t>
  </si>
  <si>
    <t>от 0,09 до 9 т/ч</t>
  </si>
  <si>
    <t>от 0,018 до 1,8 т/ч</t>
  </si>
  <si>
    <t>LPGmass</t>
  </si>
  <si>
    <t>от 0,02 до 2 т/ч</t>
  </si>
  <si>
    <t>от 0,065 до 6,5 т/ч</t>
  </si>
  <si>
    <t>от 0,18 до 18 т/ч</t>
  </si>
  <si>
    <t>от 0,45 до 45 т/ч</t>
  </si>
  <si>
    <t>FCM 2000</t>
  </si>
  <si>
    <t>МРБ. МП. 1869-2009</t>
  </si>
  <si>
    <t>МРБ.МП. 1996-2010</t>
  </si>
  <si>
    <t>от 0,45 до 4,5 т/ч</t>
  </si>
  <si>
    <t>от 0,75 до 7,5 т/ч</t>
  </si>
  <si>
    <t>от 2,19 до 21,9 т/ч</t>
  </si>
  <si>
    <t>от 4,26 до 42,6 т/ч</t>
  </si>
  <si>
    <t>от 8,7 до 87 т/ч</t>
  </si>
  <si>
    <t>от 11,34 до 113,4 т/ч</t>
  </si>
  <si>
    <t>от 19,2 до 192 т/ч</t>
  </si>
  <si>
    <t>от 51 до 510 т/ч</t>
  </si>
  <si>
    <t>MagFlo 6000/3100</t>
  </si>
  <si>
    <t>MagFlo 5000/3100</t>
  </si>
  <si>
    <t>MassFlo 6000/MC2</t>
  </si>
  <si>
    <t>MassFlo 6000/FC300</t>
  </si>
  <si>
    <t>MassFlo 6000/MC1</t>
  </si>
  <si>
    <t>от 4,175 до 42,6 т/ч</t>
  </si>
  <si>
    <t>от 8,575 до 87 т/ч</t>
  </si>
  <si>
    <t>от 11,158 до 113,4 т/ч</t>
  </si>
  <si>
    <t>от 18,870 до 192 т/ч</t>
  </si>
  <si>
    <t>от 68,035 до 510 т/ч</t>
  </si>
  <si>
    <t>Micro Motion</t>
  </si>
  <si>
    <t>МП.МН. 799-2000</t>
  </si>
  <si>
    <t>от 3,5 до 70 т/ч</t>
  </si>
  <si>
    <t>Micro Motion CMF050</t>
  </si>
  <si>
    <t>Micro Motion CMF025</t>
  </si>
  <si>
    <t>Micro Motion CMF100</t>
  </si>
  <si>
    <t>Micro Motion CMF200</t>
  </si>
  <si>
    <t>Micro Motion CMF300</t>
  </si>
  <si>
    <t>Micro Motion CMF400</t>
  </si>
  <si>
    <t>от 0,218 до 2,18 т/ч</t>
  </si>
  <si>
    <t>от 0,68 до 6,8 т/ч</t>
  </si>
  <si>
    <t>от 2,72 до 27,2 т/ч</t>
  </si>
  <si>
    <t>от 8,71 до 87,1 т/ч</t>
  </si>
  <si>
    <t>от 27,216 до 272,16 т/ч</t>
  </si>
  <si>
    <t>от 54,55 до 545,5 т/ч</t>
  </si>
  <si>
    <t>Micro Motion T025</t>
  </si>
  <si>
    <t>Micro Motion T050</t>
  </si>
  <si>
    <t>Micro Motion T100</t>
  </si>
  <si>
    <t>Micro Motion T075</t>
  </si>
  <si>
    <t>Micro Motion T150</t>
  </si>
  <si>
    <t>от 0,068 до 0,68 т/ч</t>
  </si>
  <si>
    <t>от 0,380 до 3,8 т/ч</t>
  </si>
  <si>
    <t>от 1,4 до 14 т/ч</t>
  </si>
  <si>
    <t>от 3 до 30 т/ч</t>
  </si>
  <si>
    <t>Micro Motion F025</t>
  </si>
  <si>
    <t>Micro Motion F050</t>
  </si>
  <si>
    <t>Micro Motion F100</t>
  </si>
  <si>
    <t>Micro Motion F200</t>
  </si>
  <si>
    <t>от 8,727 до 87,27 т/ч</t>
  </si>
  <si>
    <t>массового</t>
  </si>
  <si>
    <t>Micro Motion R025</t>
  </si>
  <si>
    <t>Micro Motion R050</t>
  </si>
  <si>
    <t>Micro Motion R100</t>
  </si>
  <si>
    <t>Micro Motion R200</t>
  </si>
  <si>
    <t>от 0,272 до 2,72 т/ч</t>
  </si>
  <si>
    <t>от 0,816 до 8,16 т/ч</t>
  </si>
  <si>
    <t>от 3,265 до 32,65 т/ч</t>
  </si>
  <si>
    <t>МРБ МП. 1821-2008</t>
  </si>
  <si>
    <t>Optiflux 1000</t>
  </si>
  <si>
    <t>Optiflux 2000</t>
  </si>
  <si>
    <t>Optiflux 4000</t>
  </si>
  <si>
    <t>Optiflux 5000</t>
  </si>
  <si>
    <t>Optiflux 6000</t>
  </si>
  <si>
    <t>Optiflux 1100</t>
  </si>
  <si>
    <t>Optiflux 2100</t>
  </si>
  <si>
    <t>Optiflux 4100</t>
  </si>
  <si>
    <t>Optiflux 5100</t>
  </si>
  <si>
    <t>Optiflux 6100</t>
  </si>
  <si>
    <t>от 0,08 до 3,39 м3/ч</t>
  </si>
  <si>
    <t>от 0,19 до 7,63 м3/ч</t>
  </si>
  <si>
    <t>от 0,34 до 13,57 м3/ч</t>
  </si>
  <si>
    <t>от 0,53 до 21,21 м3/ч</t>
  </si>
  <si>
    <t>от 0,87 до 34,74 м3/ч</t>
  </si>
  <si>
    <t>от 1,36 до 54,29 м3/ч</t>
  </si>
  <si>
    <t>от 2,12 до 84,82 м3/ч</t>
  </si>
  <si>
    <t>от 3,58 до 143,35 м3/ч</t>
  </si>
  <si>
    <t>от 5,43 до 217,15 м3/ч</t>
  </si>
  <si>
    <t>от 8,48 до 339,29 м3/ч</t>
  </si>
  <si>
    <t>от 13,25 до 530,15 м3/ч</t>
  </si>
  <si>
    <t>от 19,09 до 763,4 м3/ч</t>
  </si>
  <si>
    <t>Optiflux</t>
  </si>
  <si>
    <t>электромагнитного</t>
  </si>
  <si>
    <t>MagFlo</t>
  </si>
  <si>
    <t>Optiflux 1300</t>
  </si>
  <si>
    <t>Optiflux 2300</t>
  </si>
  <si>
    <t>Optiflux 4300</t>
  </si>
  <si>
    <t>Optiflux 5300</t>
  </si>
  <si>
    <t>Optiflux 6300</t>
  </si>
  <si>
    <t>поверки расходомера вихревого</t>
  </si>
  <si>
    <t>поверки расходомера ультразвукового</t>
  </si>
  <si>
    <t>калибровки расходомера массового</t>
  </si>
  <si>
    <t>калибровки расходомера вихревого</t>
  </si>
  <si>
    <t>калибровки расходомера ультразвукового</t>
  </si>
  <si>
    <t>Optimass</t>
  </si>
  <si>
    <t>Optimass 7050C</t>
  </si>
  <si>
    <t>Optimass 7051K</t>
  </si>
  <si>
    <t>Optimass 9000</t>
  </si>
  <si>
    <t>Optimass 8050S</t>
  </si>
  <si>
    <t>Optimass 8000</t>
  </si>
  <si>
    <t>Optimass 2300</t>
  </si>
  <si>
    <t>Optimass 2000</t>
  </si>
  <si>
    <t>Optimass MFM 9300</t>
  </si>
  <si>
    <t>Optimass 2300C</t>
  </si>
  <si>
    <t>Optimass 1000</t>
  </si>
  <si>
    <t>МРБ МП. 1647-2006</t>
  </si>
  <si>
    <t>от 0,625 до 6,25 т/ч</t>
  </si>
  <si>
    <t>от 2,7 до 27 т/ч</t>
  </si>
  <si>
    <t>от 8 до 80 т/ч</t>
  </si>
  <si>
    <t>от 17 до 170 т/ч</t>
  </si>
  <si>
    <t>от 7 до 420 т/ч (121 т/ч)</t>
  </si>
  <si>
    <t>от 18 до 900 т/ч (270 т/ч)</t>
  </si>
  <si>
    <t>Optimass 6000</t>
  </si>
  <si>
    <t>от 0,180 до 1,8 т/ч</t>
  </si>
  <si>
    <t>от 0,57 до 5,7 т/ч</t>
  </si>
  <si>
    <t>от 2,85 до 28,5 т/ч</t>
  </si>
  <si>
    <t>от 5,25 до 52,5 т/ч</t>
  </si>
  <si>
    <t>от 11,7 до 117 т/ч</t>
  </si>
  <si>
    <t>от 26,25 до 262,5 т/ч</t>
  </si>
  <si>
    <t>от 48 до 480 т/ч</t>
  </si>
  <si>
    <t>от 82,5 до 825 т/ч</t>
  </si>
  <si>
    <t>Optimass 7000</t>
  </si>
  <si>
    <t>от 0,095 до 1,235 т/ч</t>
  </si>
  <si>
    <t>от 1,125 до 14,625 т/ч</t>
  </si>
  <si>
    <t>от 9,15 до 118,95 т/ч</t>
  </si>
  <si>
    <t>от 3,45 до 44,85 т/ч</t>
  </si>
  <si>
    <t>от 0,27 до 3,51 т/ч</t>
  </si>
  <si>
    <t>от 18 до 234 т/ч</t>
  </si>
  <si>
    <t>от 43 до 559 т/ч</t>
  </si>
  <si>
    <t>от 0,351 до 3,51 т/ч</t>
  </si>
  <si>
    <t>от 1,17 до 11,7 т/ч</t>
  </si>
  <si>
    <t>от 4,16 до 41,6 т/ч</t>
  </si>
  <si>
    <t>от 11,05 до 110,5 т/ч</t>
  </si>
  <si>
    <t>от 32,5 до 325 т/ч</t>
  </si>
  <si>
    <t>Opimass</t>
  </si>
  <si>
    <t>калибровки расходомера электромагнитного</t>
  </si>
  <si>
    <t>ABB</t>
  </si>
  <si>
    <t>МРБ МП. 1995-2010</t>
  </si>
  <si>
    <t>от 0,036 до 1,8 м3/ч</t>
  </si>
  <si>
    <t>от 0,054 до 2,7 м3/ч</t>
  </si>
  <si>
    <t>от 0,12 до 6 м3/ч</t>
  </si>
  <si>
    <t>от 0,18 до 9 м3/ч</t>
  </si>
  <si>
    <t>от 0,24 до 12 м3/ч</t>
  </si>
  <si>
    <t>от 0,48 до 24 м3/ч</t>
  </si>
  <si>
    <t>от 0,72 до 36 м3/ч</t>
  </si>
  <si>
    <t>от 1,2 до 60, м3/ч</t>
  </si>
  <si>
    <t>от 2,4 до 120 м3/ч</t>
  </si>
  <si>
    <t>от 3,6 до 180 м3/ч</t>
  </si>
  <si>
    <t>от 4,8 до 240 м3/ч</t>
  </si>
  <si>
    <t>от 8,4 до 420 м3/ч</t>
  </si>
  <si>
    <t>от 12 до 600 м3/ч</t>
  </si>
  <si>
    <t>от 21,6 до 1080 м3/ч</t>
  </si>
  <si>
    <t>ABB FEP300</t>
  </si>
  <si>
    <t>ABB FEP311</t>
  </si>
  <si>
    <t>ABB FEP325</t>
  </si>
  <si>
    <t>ABB FEH315</t>
  </si>
  <si>
    <t>ABB FEH325</t>
  </si>
  <si>
    <t>ABB FEH321</t>
  </si>
  <si>
    <t>ABB FEP321</t>
  </si>
  <si>
    <t>ABB FEH311</t>
  </si>
  <si>
    <t>ABB FEH300</t>
  </si>
  <si>
    <t>ABB FEP315</t>
  </si>
  <si>
    <t>ABB FEP500</t>
  </si>
  <si>
    <t>ABB FEH511</t>
  </si>
  <si>
    <t>ABB FEH515</t>
  </si>
  <si>
    <t>ABB FEH521</t>
  </si>
  <si>
    <t>ABB FEH525</t>
  </si>
  <si>
    <t>ABB FEP511</t>
  </si>
  <si>
    <t>ABB FEP515</t>
  </si>
  <si>
    <t>ABB FEP521</t>
  </si>
  <si>
    <t>ABB FEP525</t>
  </si>
  <si>
    <t>ABB FEH500</t>
  </si>
  <si>
    <t>Promag 10H</t>
  </si>
  <si>
    <t>Promag 33</t>
  </si>
  <si>
    <t>Promag 50W</t>
  </si>
  <si>
    <t>Promag 33F</t>
  </si>
  <si>
    <t>Promag 50P</t>
  </si>
  <si>
    <t>Promag 33H</t>
  </si>
  <si>
    <t>мкA</t>
  </si>
  <si>
    <t>Prowirl</t>
  </si>
  <si>
    <t>МП.МН 899-2000</t>
  </si>
  <si>
    <t>от 1,026 до 4,56 м3/ч</t>
  </si>
  <si>
    <t>от 1,775 до 13,94 м3/ч</t>
  </si>
  <si>
    <t>от 2,814 до 34,28 м3/ч</t>
  </si>
  <si>
    <t>от 3,633 до 57,16 м3/ч</t>
  </si>
  <si>
    <t>от 7,163 до 222,19 м3/ч</t>
  </si>
  <si>
    <t>от 11,51 до 505,43 м3/ч</t>
  </si>
  <si>
    <t>от 27,58 до 993,4 м3/ч</t>
  </si>
  <si>
    <t>от 5,443 до 128,27 м3/ч</t>
  </si>
  <si>
    <t>Prowirl 70F</t>
  </si>
  <si>
    <t>вихревого</t>
  </si>
  <si>
    <t>от 1,034 до 4,63 м3/ч</t>
  </si>
  <si>
    <t>от 1,964 до 16,71 м3/ч</t>
  </si>
  <si>
    <t>от 3,183 до 43,87 м3/ч</t>
  </si>
  <si>
    <t>от 4,025 до 70,14 м3/ч</t>
  </si>
  <si>
    <t>от 6,093 до 160,72 м3/ч</t>
  </si>
  <si>
    <t>от 6,167 до 270,87 м3/ч</t>
  </si>
  <si>
    <t>от 13,64 до 599,25 м3/ч</t>
  </si>
  <si>
    <t>Prowirl 70W</t>
  </si>
  <si>
    <t>от 1,026 до 4,917 м3/ч</t>
  </si>
  <si>
    <t>от 1,795 до 15,03 м3/ч</t>
  </si>
  <si>
    <t>от 2,814 до 36,94 м3/ч</t>
  </si>
  <si>
    <t>от 3,633 до 61,6 м3/ч</t>
  </si>
  <si>
    <t>от 5,443 до 138,2 м3/ч</t>
  </si>
  <si>
    <t>от 7,163 до 239,4 м3/ч</t>
  </si>
  <si>
    <t>от 13,40 до 544,7 м3/ч</t>
  </si>
  <si>
    <t>от 25,72 до 1046 м3/ч</t>
  </si>
  <si>
    <t>Prowirl 72F</t>
  </si>
  <si>
    <t>Prowirl 73F</t>
  </si>
  <si>
    <t>Prowirl 77F</t>
  </si>
  <si>
    <t>Prowirl F200</t>
  </si>
  <si>
    <t>Prowirl O200</t>
  </si>
  <si>
    <t>Prowirl R200</t>
  </si>
  <si>
    <t>от 1,219 до 6,928 м3/ч</t>
  </si>
  <si>
    <t>от 2,038 до 19,38 м3/ч</t>
  </si>
  <si>
    <t>от 3,102 до 44,89 м3/ч</t>
  </si>
  <si>
    <t>от 3,951 до 72,84 м3/ч</t>
  </si>
  <si>
    <t>от 5,926 до 163,9 м3/ч</t>
  </si>
  <si>
    <t>от 7,736 до 279,2 м3/ч</t>
  </si>
  <si>
    <t>от 15,38 до 625,2 м3/ч</t>
  </si>
  <si>
    <t>Prowirl 72W</t>
  </si>
  <si>
    <t>Prowirl 73W</t>
  </si>
  <si>
    <t>Prowirl 77W</t>
  </si>
  <si>
    <t>Prowirl D200</t>
  </si>
  <si>
    <t>-</t>
  </si>
  <si>
    <t>Rotamass RCCS32</t>
  </si>
  <si>
    <t>Rotamass RCCS33</t>
  </si>
  <si>
    <t>Rotamass RCCS34</t>
  </si>
  <si>
    <t>Rotamass RCCS36</t>
  </si>
  <si>
    <t>Rotamass RCCS39</t>
  </si>
  <si>
    <t>Rotamass RCCS38</t>
  </si>
  <si>
    <t>Rotamass RCCT34</t>
  </si>
  <si>
    <t>Rotamass RCCT36</t>
  </si>
  <si>
    <t>Rotamass RCCT38</t>
  </si>
  <si>
    <t>Rotamass RCCT39</t>
  </si>
  <si>
    <t>Rotamass RCCT39/IR</t>
  </si>
  <si>
    <t>Rotamass RCCS39/XR</t>
  </si>
  <si>
    <t>Rotamass RCCT39/XR</t>
  </si>
  <si>
    <t>Rotamass</t>
  </si>
  <si>
    <t>МРБ МП. 1560-2006</t>
  </si>
  <si>
    <t>Rotamass RCCS39/IR</t>
  </si>
  <si>
    <t>от 0,06 до 0,6 т/ч</t>
  </si>
  <si>
    <t>от 0,15 до 1,5 т/ч</t>
  </si>
  <si>
    <t>от 0,5 до 5 т/ч</t>
  </si>
  <si>
    <t>от 1,5 до 15 т/ч</t>
  </si>
  <si>
    <t>от 5 до 50 т/ч</t>
  </si>
  <si>
    <t>от 12 до 120 т/ч</t>
  </si>
  <si>
    <t>от 30 до 300 т/ч</t>
  </si>
  <si>
    <t>YEWFLO YF</t>
  </si>
  <si>
    <t>YEWFLO YF101</t>
  </si>
  <si>
    <t>YEWFLO YF102</t>
  </si>
  <si>
    <t>YEWFLO YF103</t>
  </si>
  <si>
    <t>YEWFLO YF104</t>
  </si>
  <si>
    <t>YEWFLO YF105</t>
  </si>
  <si>
    <t>YEWFLO YF108</t>
  </si>
  <si>
    <t>YEWFLO YF110</t>
  </si>
  <si>
    <t>YEWFLO YF115</t>
  </si>
  <si>
    <t>YEWFLO YF120</t>
  </si>
  <si>
    <t>YEWFLO DF101</t>
  </si>
  <si>
    <t>YEWFLO DF102</t>
  </si>
  <si>
    <t>YEWFLO DF103</t>
  </si>
  <si>
    <t>YEWFLO DF104</t>
  </si>
  <si>
    <t>YEWFLO DF105</t>
  </si>
  <si>
    <t>YEWFLO DF108</t>
  </si>
  <si>
    <t>YEWFLO DF110</t>
  </si>
  <si>
    <t>YEWFLO DF115</t>
  </si>
  <si>
    <t>YEWFLO DF120</t>
  </si>
  <si>
    <t>YEWFLO</t>
  </si>
  <si>
    <t>МП. МН 1351-2004</t>
  </si>
  <si>
    <t>от 0,94 до 6 м3/ч</t>
  </si>
  <si>
    <t>от 1,66 до 18 м3/ч</t>
  </si>
  <si>
    <t>от 2,6 до 44 м3/ч</t>
  </si>
  <si>
    <t>от 3,3 до 73 м3/ч</t>
  </si>
  <si>
    <t>от 4,6 до 140 м3/ч</t>
  </si>
  <si>
    <t>от 7,4 до 245 м3/ч</t>
  </si>
  <si>
    <t>от 17,8 до 540 м3/ч</t>
  </si>
  <si>
    <t>от 34 до 970 м3/ч</t>
  </si>
  <si>
    <t>TRIO-WIRL</t>
  </si>
  <si>
    <t>МРБ МП. 1837-2008</t>
  </si>
  <si>
    <t>TRIO-WIRL FV4000-VT4</t>
  </si>
  <si>
    <t>TRIO-WIRL FV4000-VR4</t>
  </si>
  <si>
    <t>от 0,5 до 6 м3/ч</t>
  </si>
  <si>
    <t>от 1,6 до 18 м3/ч</t>
  </si>
  <si>
    <t>от 3 до 70 м3/ч</t>
  </si>
  <si>
    <t>от 10 до 170 м3/ч</t>
  </si>
  <si>
    <t>от 10 до 270 м3/ч</t>
  </si>
  <si>
    <t>от 30 до 630 м3/ч</t>
  </si>
  <si>
    <t>от 70 до 1100 м3/ч</t>
  </si>
  <si>
    <t>от 0,1 до 1,6 м3/ч</t>
  </si>
  <si>
    <t>от 0,2 до 2 м3/ч</t>
  </si>
  <si>
    <t>от 0,4 до 6 м3/ч</t>
  </si>
  <si>
    <t>от 0,8 до 10 м3/ч</t>
  </si>
  <si>
    <t>от 1,6 до 16 м3/ч</t>
  </si>
  <si>
    <t>от 2,5 до 25 м3/ч</t>
  </si>
  <si>
    <t>от 3,5 до 100 м3/ч</t>
  </si>
  <si>
    <t>от 5 до 150 м3/ч</t>
  </si>
  <si>
    <t>от 18 до 370 м3/ч</t>
  </si>
  <si>
    <t>от 25 до 500 м3/ч</t>
  </si>
  <si>
    <t>TRIO-WIRL FS4000-ST4</t>
  </si>
  <si>
    <t>TRIO-WIRL FS4000-SR4</t>
  </si>
  <si>
    <t>от 2,4 до 48 м3/ч</t>
  </si>
  <si>
    <t>«БЕЛОРУССКИЙ ГОСУДАРСТВЕННЫЙ ИНСТИТУТ МЕТРОЛОГИИ»</t>
  </si>
  <si>
    <t>(БелГИМ)</t>
  </si>
  <si>
    <t>Наименование лаборатории проведения поверки:</t>
  </si>
  <si>
    <t>Наименование организации заказчика:</t>
  </si>
  <si>
    <t xml:space="preserve">Наименование (тип) средства измерения:            </t>
  </si>
  <si>
    <t>Погр.,       δ %</t>
  </si>
  <si>
    <t>Диапазон измерений:</t>
  </si>
  <si>
    <t>Пределы допускаемой относительной погрешности:</t>
  </si>
  <si>
    <t>Предприятие-владелец:</t>
  </si>
  <si>
    <t>Предприятие, проводившее поверку:</t>
  </si>
  <si>
    <t>Дата поверки:</t>
  </si>
  <si>
    <t>Методика поверки:</t>
  </si>
  <si>
    <t>Условия поверки:</t>
  </si>
  <si>
    <t>кПа</t>
  </si>
  <si>
    <t>Результаты поверки:</t>
  </si>
  <si>
    <t>Заключение о результатах поверки:</t>
  </si>
  <si>
    <t>Поверитель:</t>
  </si>
  <si>
    <r>
      <rPr>
        <vertAlign val="superscript"/>
        <sz val="14"/>
        <rFont val="Times New Roman"/>
        <family val="1"/>
        <charset val="204"/>
      </rPr>
      <t>0</t>
    </r>
    <r>
      <rPr>
        <sz val="14"/>
        <rFont val="Times New Roman"/>
        <family val="1"/>
        <charset val="204"/>
      </rPr>
      <t>C</t>
    </r>
  </si>
  <si>
    <t>Номер средства измерения:</t>
  </si>
  <si>
    <t xml:space="preserve">    [δ], %</t>
  </si>
  <si>
    <t>от 0,1 до 2 т/ч</t>
  </si>
  <si>
    <t>от 0,9 до 18 т/ч</t>
  </si>
  <si>
    <t>от 2,25 до 45 т/ч</t>
  </si>
  <si>
    <t>от 9 до 180 т/ч</t>
  </si>
  <si>
    <t>от 17,5 до 350 т/ч</t>
  </si>
  <si>
    <t>от 40 до 800 т/ч</t>
  </si>
  <si>
    <r>
      <t>r, кг/м</t>
    </r>
    <r>
      <rPr>
        <vertAlign val="superscript"/>
        <sz val="14"/>
        <rFont val="Times New Roman"/>
        <family val="1"/>
        <charset val="204"/>
      </rPr>
      <t>3</t>
    </r>
  </si>
  <si>
    <r>
      <t>от 0,181 до 1,81 м</t>
    </r>
    <r>
      <rPr>
        <vertAlign val="superscript"/>
        <sz val="14"/>
        <rFont val="Times New Roman"/>
        <family val="1"/>
        <charset val="204"/>
      </rPr>
      <t>3</t>
    </r>
    <r>
      <rPr>
        <sz val="14"/>
        <rFont val="Times New Roman"/>
        <family val="1"/>
        <charset val="204"/>
      </rPr>
      <t>/ч</t>
    </r>
  </si>
  <si>
    <r>
      <t>от 0,636 до 6,36 м</t>
    </r>
    <r>
      <rPr>
        <vertAlign val="superscript"/>
        <sz val="14"/>
        <rFont val="Times New Roman"/>
        <family val="1"/>
        <charset val="204"/>
      </rPr>
      <t>3</t>
    </r>
    <r>
      <rPr>
        <sz val="14"/>
        <rFont val="Times New Roman"/>
        <family val="1"/>
        <charset val="204"/>
      </rPr>
      <t>/ч</t>
    </r>
  </si>
  <si>
    <r>
      <t>от 1,8 до 18 м</t>
    </r>
    <r>
      <rPr>
        <vertAlign val="superscript"/>
        <sz val="14"/>
        <rFont val="Times New Roman"/>
        <family val="1"/>
        <charset val="204"/>
      </rPr>
      <t>3</t>
    </r>
    <r>
      <rPr>
        <sz val="14"/>
        <rFont val="Times New Roman"/>
        <family val="1"/>
        <charset val="204"/>
      </rPr>
      <t>/ч</t>
    </r>
  </si>
  <si>
    <r>
      <t>от 3 до 30 м</t>
    </r>
    <r>
      <rPr>
        <vertAlign val="superscript"/>
        <sz val="14"/>
        <rFont val="Times New Roman"/>
        <family val="1"/>
        <charset val="204"/>
      </rPr>
      <t>3</t>
    </r>
    <r>
      <rPr>
        <sz val="14"/>
        <rFont val="Times New Roman"/>
        <family val="1"/>
        <charset val="204"/>
      </rPr>
      <t>/ч</t>
    </r>
  </si>
  <si>
    <r>
      <t>от 4,2 до 42 м</t>
    </r>
    <r>
      <rPr>
        <vertAlign val="superscript"/>
        <sz val="14"/>
        <rFont val="Times New Roman"/>
        <family val="1"/>
        <charset val="204"/>
      </rPr>
      <t>3</t>
    </r>
    <r>
      <rPr>
        <sz val="14"/>
        <rFont val="Times New Roman"/>
        <family val="1"/>
        <charset val="204"/>
      </rPr>
      <t>/ч</t>
    </r>
  </si>
  <si>
    <r>
      <t>от 6,6 до 66 м</t>
    </r>
    <r>
      <rPr>
        <vertAlign val="superscript"/>
        <sz val="14"/>
        <rFont val="Times New Roman"/>
        <family val="1"/>
        <charset val="204"/>
      </rPr>
      <t>3</t>
    </r>
    <r>
      <rPr>
        <sz val="14"/>
        <rFont val="Times New Roman"/>
        <family val="1"/>
        <charset val="204"/>
      </rPr>
      <t>/ч</t>
    </r>
  </si>
  <si>
    <r>
      <t>от 12 до 120 м</t>
    </r>
    <r>
      <rPr>
        <vertAlign val="superscript"/>
        <sz val="14"/>
        <rFont val="Times New Roman"/>
        <family val="1"/>
        <charset val="204"/>
      </rPr>
      <t>3</t>
    </r>
    <r>
      <rPr>
        <sz val="14"/>
        <rFont val="Times New Roman"/>
        <family val="1"/>
        <charset val="204"/>
      </rPr>
      <t>/ч</t>
    </r>
  </si>
  <si>
    <r>
      <t>от 18 до 180 м</t>
    </r>
    <r>
      <rPr>
        <vertAlign val="superscript"/>
        <sz val="14"/>
        <rFont val="Times New Roman"/>
        <family val="1"/>
        <charset val="204"/>
      </rPr>
      <t>3</t>
    </r>
    <r>
      <rPr>
        <sz val="14"/>
        <rFont val="Times New Roman"/>
        <family val="1"/>
        <charset val="204"/>
      </rPr>
      <t>/ч</t>
    </r>
  </si>
  <si>
    <r>
      <t>от 28,2 до 282 м</t>
    </r>
    <r>
      <rPr>
        <vertAlign val="superscript"/>
        <sz val="14"/>
        <rFont val="Times New Roman"/>
        <family val="1"/>
        <charset val="204"/>
      </rPr>
      <t>3</t>
    </r>
    <r>
      <rPr>
        <sz val="14"/>
        <rFont val="Times New Roman"/>
        <family val="1"/>
        <charset val="204"/>
      </rPr>
      <t>/ч</t>
    </r>
  </si>
  <si>
    <r>
      <t>от 45 до 450 м</t>
    </r>
    <r>
      <rPr>
        <vertAlign val="superscript"/>
        <sz val="14"/>
        <rFont val="Times New Roman"/>
        <family val="1"/>
        <charset val="204"/>
      </rPr>
      <t>3</t>
    </r>
    <r>
      <rPr>
        <sz val="14"/>
        <rFont val="Times New Roman"/>
        <family val="1"/>
        <charset val="204"/>
      </rPr>
      <t>/ч</t>
    </r>
  </si>
  <si>
    <r>
      <t>от 60 до 600 м</t>
    </r>
    <r>
      <rPr>
        <vertAlign val="superscript"/>
        <sz val="14"/>
        <rFont val="Times New Roman"/>
        <family val="1"/>
        <charset val="204"/>
      </rPr>
      <t>3</t>
    </r>
    <r>
      <rPr>
        <sz val="14"/>
        <rFont val="Times New Roman"/>
        <family val="1"/>
        <charset val="204"/>
      </rPr>
      <t>/ч</t>
    </r>
  </si>
  <si>
    <r>
      <t>от 110 до 1100 м</t>
    </r>
    <r>
      <rPr>
        <vertAlign val="superscript"/>
        <sz val="14"/>
        <rFont val="Times New Roman"/>
        <family val="1"/>
        <charset val="204"/>
      </rPr>
      <t>3</t>
    </r>
    <r>
      <rPr>
        <sz val="14"/>
        <rFont val="Times New Roman"/>
        <family val="1"/>
        <charset val="204"/>
      </rPr>
      <t>/ч</t>
    </r>
  </si>
  <si>
    <r>
      <t>от 0,0255 до 1,017 м</t>
    </r>
    <r>
      <rPr>
        <vertAlign val="superscript"/>
        <sz val="14"/>
        <rFont val="Times New Roman"/>
        <family val="1"/>
        <charset val="204"/>
      </rPr>
      <t>3</t>
    </r>
    <r>
      <rPr>
        <sz val="14"/>
        <rFont val="Times New Roman"/>
        <family val="1"/>
        <charset val="204"/>
      </rPr>
      <t>/ч</t>
    </r>
  </si>
  <si>
    <r>
      <t>от 0,0707 до 2,827 м</t>
    </r>
    <r>
      <rPr>
        <vertAlign val="superscript"/>
        <sz val="14"/>
        <rFont val="Times New Roman"/>
        <family val="1"/>
        <charset val="204"/>
      </rPr>
      <t>3</t>
    </r>
    <r>
      <rPr>
        <sz val="14"/>
        <rFont val="Times New Roman"/>
        <family val="1"/>
        <charset val="204"/>
      </rPr>
      <t>/ч</t>
    </r>
  </si>
  <si>
    <r>
      <t>от 0,1591 до 6,361 м</t>
    </r>
    <r>
      <rPr>
        <vertAlign val="superscript"/>
        <sz val="14"/>
        <rFont val="Times New Roman"/>
        <family val="1"/>
        <charset val="204"/>
      </rPr>
      <t>3</t>
    </r>
    <r>
      <rPr>
        <sz val="14"/>
        <rFont val="Times New Roman"/>
        <family val="1"/>
        <charset val="204"/>
      </rPr>
      <t>/ч</t>
    </r>
  </si>
  <si>
    <r>
      <t>от 0,442 до 17,671 м</t>
    </r>
    <r>
      <rPr>
        <vertAlign val="superscript"/>
        <sz val="14"/>
        <rFont val="Times New Roman"/>
        <family val="1"/>
        <charset val="204"/>
      </rPr>
      <t>3</t>
    </r>
    <r>
      <rPr>
        <sz val="14"/>
        <rFont val="Times New Roman"/>
        <family val="1"/>
        <charset val="204"/>
      </rPr>
      <t>/ч</t>
    </r>
  </si>
  <si>
    <r>
      <t>от 1,2 до 45 м</t>
    </r>
    <r>
      <rPr>
        <vertAlign val="superscript"/>
        <sz val="14"/>
        <rFont val="Times New Roman"/>
        <family val="1"/>
        <charset val="204"/>
      </rPr>
      <t>3</t>
    </r>
    <r>
      <rPr>
        <sz val="14"/>
        <rFont val="Times New Roman"/>
        <family val="1"/>
        <charset val="204"/>
      </rPr>
      <t>/ч</t>
    </r>
  </si>
  <si>
    <r>
      <t>от 1,8 до 70 м</t>
    </r>
    <r>
      <rPr>
        <vertAlign val="superscript"/>
        <sz val="14"/>
        <rFont val="Times New Roman"/>
        <family val="1"/>
        <charset val="204"/>
      </rPr>
      <t>3</t>
    </r>
    <r>
      <rPr>
        <sz val="14"/>
        <rFont val="Times New Roman"/>
        <family val="1"/>
        <charset val="204"/>
      </rPr>
      <t>/ч</t>
    </r>
  </si>
  <si>
    <r>
      <t>от 3 до 119 м</t>
    </r>
    <r>
      <rPr>
        <vertAlign val="superscript"/>
        <sz val="14"/>
        <rFont val="Times New Roman"/>
        <family val="1"/>
        <charset val="204"/>
      </rPr>
      <t>3</t>
    </r>
    <r>
      <rPr>
        <sz val="14"/>
        <rFont val="Times New Roman"/>
        <family val="1"/>
        <charset val="204"/>
      </rPr>
      <t>/ч</t>
    </r>
  </si>
  <si>
    <r>
      <t>от 4,6 до 180 м</t>
    </r>
    <r>
      <rPr>
        <vertAlign val="superscript"/>
        <sz val="14"/>
        <rFont val="Times New Roman"/>
        <family val="1"/>
        <charset val="204"/>
      </rPr>
      <t>3</t>
    </r>
    <r>
      <rPr>
        <sz val="14"/>
        <rFont val="Times New Roman"/>
        <family val="1"/>
        <charset val="204"/>
      </rPr>
      <t>/ч</t>
    </r>
  </si>
  <si>
    <r>
      <t>от 7,1 до 282 м</t>
    </r>
    <r>
      <rPr>
        <vertAlign val="superscript"/>
        <sz val="14"/>
        <rFont val="Times New Roman"/>
        <family val="1"/>
        <charset val="204"/>
      </rPr>
      <t>3</t>
    </r>
    <r>
      <rPr>
        <sz val="14"/>
        <rFont val="Times New Roman"/>
        <family val="1"/>
        <charset val="204"/>
      </rPr>
      <t>/ч</t>
    </r>
  </si>
  <si>
    <r>
      <t>от 11,1 до 441 м</t>
    </r>
    <r>
      <rPr>
        <vertAlign val="superscript"/>
        <sz val="14"/>
        <rFont val="Times New Roman"/>
        <family val="1"/>
        <charset val="204"/>
      </rPr>
      <t>3</t>
    </r>
    <r>
      <rPr>
        <sz val="14"/>
        <rFont val="Times New Roman"/>
        <family val="1"/>
        <charset val="204"/>
      </rPr>
      <t>/ч</t>
    </r>
  </si>
  <si>
    <r>
      <t>от 1,6 до 636 м</t>
    </r>
    <r>
      <rPr>
        <vertAlign val="superscript"/>
        <sz val="14"/>
        <rFont val="Times New Roman"/>
        <family val="1"/>
        <charset val="204"/>
      </rPr>
      <t>3</t>
    </r>
    <r>
      <rPr>
        <sz val="14"/>
        <rFont val="Times New Roman"/>
        <family val="1"/>
        <charset val="204"/>
      </rPr>
      <t>/ч</t>
    </r>
  </si>
  <si>
    <r>
      <t>от 28,3 до 1130 м</t>
    </r>
    <r>
      <rPr>
        <vertAlign val="superscript"/>
        <sz val="14"/>
        <rFont val="Times New Roman"/>
        <family val="1"/>
        <charset val="204"/>
      </rPr>
      <t>3</t>
    </r>
    <r>
      <rPr>
        <sz val="14"/>
        <rFont val="Times New Roman"/>
        <family val="1"/>
        <charset val="204"/>
      </rPr>
      <t>/ч</t>
    </r>
  </si>
  <si>
    <t>Канал плотности и канал температуры не поверялись</t>
  </si>
  <si>
    <t>ввап</t>
  </si>
  <si>
    <t>прод</t>
  </si>
  <si>
    <t>hjk</t>
  </si>
  <si>
    <t>tyu</t>
  </si>
  <si>
    <t>qwe</t>
  </si>
  <si>
    <t>123</t>
  </si>
  <si>
    <t>поверки расходомера электромагнитного</t>
  </si>
  <si>
    <t>поверки расходомера массового</t>
  </si>
  <si>
    <t>Flag_MF</t>
  </si>
  <si>
    <t>Promass 80F</t>
  </si>
  <si>
    <r>
      <t>от 0,325 до 6,5 т</t>
    </r>
    <r>
      <rPr>
        <sz val="10"/>
        <rFont val="Arial"/>
        <family val="2"/>
        <charset val="204"/>
      </rPr>
      <t>/ч</t>
    </r>
  </si>
  <si>
    <t>l'l</t>
  </si>
  <si>
    <r>
      <rPr>
        <sz val="14"/>
        <rFont val="Calibri"/>
        <family val="2"/>
        <charset val="204"/>
      </rPr>
      <t>ρ</t>
    </r>
    <r>
      <rPr>
        <sz val="14"/>
        <rFont val="Times New Roman"/>
        <family val="1"/>
        <charset val="204"/>
      </rPr>
      <t>, кг/м</t>
    </r>
    <r>
      <rPr>
        <vertAlign val="superscript"/>
        <sz val="14"/>
        <rFont val="Times New Roman"/>
        <family val="1"/>
        <charset val="204"/>
      </rPr>
      <t>3</t>
    </r>
  </si>
  <si>
    <t>Научное учреждение                              «ОИЭЯИ - Сосны» Минский р-н, Лугослободской с/с д. Прилесье, 47/22, лаб. №10.</t>
  </si>
  <si>
    <t xml:space="preserve">Научное учреждение «ОИЭЯИ - Сосны» </t>
  </si>
  <si>
    <r>
      <t>Исходный эталон единиц массового (объемного) расхода воды №001, диапазон измерения расхода (0,09-300) т/ч (м</t>
    </r>
    <r>
      <rPr>
        <vertAlign val="superscript"/>
        <sz val="14"/>
        <rFont val="Times New Roman"/>
        <family val="1"/>
        <charset val="204"/>
      </rPr>
      <t>3</t>
    </r>
    <r>
      <rPr>
        <sz val="14"/>
        <rFont val="Times New Roman"/>
        <family val="1"/>
        <charset val="204"/>
      </rPr>
      <t>/ч), относительная погрешность измерения ±0.046% ( ±0.052%).</t>
    </r>
  </si>
  <si>
    <t>Эталоные средства измерения:</t>
  </si>
  <si>
    <t>РЕСПУБЛИКАНСКОЕ УНИТАРНОЕ ПРЕДПРИЯТИЕ</t>
  </si>
  <si>
    <t xml:space="preserve">   </t>
  </si>
  <si>
    <r>
      <t>Gизм, м</t>
    </r>
    <r>
      <rPr>
        <vertAlign val="superscript"/>
        <sz val="14"/>
        <rFont val="Times New Roman"/>
        <family val="1"/>
        <charset val="204"/>
      </rPr>
      <t>3</t>
    </r>
    <r>
      <rPr>
        <sz val="14"/>
        <rFont val="Times New Roman"/>
        <family val="1"/>
        <charset val="204"/>
      </rPr>
      <t>/ч</t>
    </r>
  </si>
  <si>
    <r>
      <t>Gобр, м</t>
    </r>
    <r>
      <rPr>
        <vertAlign val="superscript"/>
        <sz val="14"/>
        <rFont val="Times New Roman"/>
        <family val="1"/>
        <charset val="204"/>
      </rPr>
      <t>3</t>
    </r>
    <r>
      <rPr>
        <sz val="14"/>
        <rFont val="Times New Roman"/>
        <family val="1"/>
        <charset val="204"/>
      </rPr>
      <t>/ч</t>
    </r>
  </si>
  <si>
    <r>
      <t>Vизм, м</t>
    </r>
    <r>
      <rPr>
        <vertAlign val="superscript"/>
        <sz val="14"/>
        <rFont val="Times New Roman"/>
        <family val="1"/>
        <charset val="204"/>
      </rPr>
      <t>3</t>
    </r>
  </si>
  <si>
    <r>
      <t>Vобр, м</t>
    </r>
    <r>
      <rPr>
        <vertAlign val="superscript"/>
        <sz val="14"/>
        <rFont val="Times New Roman"/>
        <family val="1"/>
        <charset val="204"/>
      </rPr>
      <t>3</t>
    </r>
  </si>
  <si>
    <t>±0,25 %</t>
  </si>
  <si>
    <t>Протокол поверки № 41.1-266/49</t>
  </si>
  <si>
    <t>На МЕ, мс</t>
  </si>
  <si>
    <t>Из МЕ, мс</t>
  </si>
  <si>
    <t>Δt, мс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</si>
</sst>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23">
    <font>
      <sz val="10"/>
      <name val="Arial"/>
    </font>
    <font>
      <b/>
      <sz val="14"/>
      <name val="Times New Roman"/>
      <family val="1"/>
      <charset val="204"/>
    </font>
    <font>
      <sz val="11"/>
      <name val="Arial"/>
      <family val="2"/>
      <charset val="204"/>
    </font>
    <font>
      <sz val="11"/>
      <name val="Arial Cyr"/>
      <family val="2"/>
      <charset val="204"/>
    </font>
    <font>
      <b/>
      <i/>
      <sz val="12"/>
      <name val="Arial"/>
      <family val="2"/>
      <charset val="204"/>
    </font>
    <font>
      <sz val="12"/>
      <name val="Arial"/>
      <family val="2"/>
      <charset val="204"/>
    </font>
    <font>
      <u/>
      <sz val="11"/>
      <name val="Arial Cyr"/>
      <family val="2"/>
      <charset val="204"/>
    </font>
    <font>
      <u/>
      <sz val="11"/>
      <name val="Arial"/>
      <family val="2"/>
      <charset val="204"/>
    </font>
    <font>
      <u/>
      <sz val="10"/>
      <name val="Arial"/>
      <family val="2"/>
      <charset val="204"/>
    </font>
    <font>
      <sz val="11"/>
      <name val="Arial"/>
      <family val="2"/>
      <charset val="204"/>
    </font>
    <font>
      <vertAlign val="superscript"/>
      <sz val="11"/>
      <name val="Arial"/>
      <family val="2"/>
      <charset val="204"/>
    </font>
    <font>
      <sz val="11"/>
      <name val="Symbol"/>
      <family val="1"/>
      <charset val="2"/>
    </font>
    <font>
      <b/>
      <sz val="10"/>
      <name val="Arial"/>
      <family val="2"/>
      <charset val="204"/>
    </font>
    <font>
      <u/>
      <sz val="12"/>
      <name val="Arial"/>
      <family val="2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sz val="12"/>
      <name val="Times New Roman"/>
      <family val="1"/>
      <charset val="204"/>
    </font>
    <font>
      <b/>
      <sz val="12"/>
      <name val="Times New Roman"/>
      <family val="1"/>
      <charset val="204"/>
    </font>
    <font>
      <sz val="11"/>
      <name val="Times New Roman"/>
      <family val="1"/>
      <charset val="204"/>
    </font>
    <font>
      <sz val="14"/>
      <name val="Times New Roman"/>
      <family val="1"/>
      <charset val="204"/>
    </font>
    <font>
      <vertAlign val="superscript"/>
      <sz val="14"/>
      <name val="Times New Roman"/>
      <family val="1"/>
      <charset val="204"/>
    </font>
    <font>
      <u/>
      <sz val="14"/>
      <name val="Times New Roman"/>
      <family val="1"/>
      <charset val="204"/>
    </font>
    <font>
      <sz val="14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4" fillId="0" borderId="0"/>
    <xf numFmtId="0" fontId="14" fillId="0" borderId="0"/>
  </cellStyleXfs>
  <cellXfs count="223">
    <xf numFmtId="0" fontId="0" fillId="0" borderId="0" xfId="0"/>
    <xf numFmtId="0" fontId="0" fillId="0" borderId="0" xfId="0" applyAlignment="1">
      <alignment horizontal="center"/>
    </xf>
    <xf numFmtId="2" fontId="0" fillId="0" borderId="1" xfId="0" applyNumberFormat="1" applyBorder="1" applyAlignment="1">
      <alignment horizontal="center" vertical="center"/>
    </xf>
    <xf numFmtId="0" fontId="2" fillId="0" borderId="0" xfId="0" applyFont="1" applyBorder="1" applyAlignment="1">
      <alignment horizontal="left"/>
    </xf>
    <xf numFmtId="0" fontId="2" fillId="0" borderId="0" xfId="0" applyFont="1" applyBorder="1" applyAlignment="1" applyProtection="1">
      <alignment horizontal="center"/>
      <protection locked="0"/>
    </xf>
    <xf numFmtId="0" fontId="2" fillId="0" borderId="0" xfId="0" applyFont="1" applyBorder="1" applyAlignment="1"/>
    <xf numFmtId="0" fontId="0" fillId="0" borderId="0" xfId="0" applyAlignment="1">
      <alignment horizontal="left"/>
    </xf>
    <xf numFmtId="0" fontId="5" fillId="0" borderId="0" xfId="0" applyFont="1" applyAlignment="1">
      <alignment horizontal="center"/>
    </xf>
    <xf numFmtId="0" fontId="2" fillId="0" borderId="0" xfId="0" applyFont="1" applyBorder="1" applyAlignment="1" applyProtection="1">
      <alignment horizontal="left"/>
      <protection locked="0"/>
    </xf>
    <xf numFmtId="0" fontId="3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/>
    <xf numFmtId="2" fontId="0" fillId="0" borderId="2" xfId="0" applyNumberFormat="1" applyBorder="1" applyAlignment="1">
      <alignment horizontal="center" vertical="center"/>
    </xf>
    <xf numFmtId="0" fontId="9" fillId="0" borderId="3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166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0" borderId="0" xfId="0" applyBorder="1"/>
    <xf numFmtId="0" fontId="4" fillId="0" borderId="0" xfId="0" applyFont="1" applyAlignment="1"/>
    <xf numFmtId="0" fontId="5" fillId="0" borderId="0" xfId="0" applyFont="1" applyAlignment="1"/>
    <xf numFmtId="0" fontId="5" fillId="0" borderId="0" xfId="0" applyFont="1"/>
    <xf numFmtId="1" fontId="0" fillId="0" borderId="6" xfId="0" applyNumberFormat="1" applyBorder="1"/>
    <xf numFmtId="0" fontId="5" fillId="0" borderId="7" xfId="0" applyFont="1" applyBorder="1"/>
    <xf numFmtId="0" fontId="0" fillId="0" borderId="8" xfId="0" applyBorder="1"/>
    <xf numFmtId="0" fontId="0" fillId="0" borderId="9" xfId="0" applyBorder="1"/>
    <xf numFmtId="0" fontId="5" fillId="0" borderId="10" xfId="0" applyFont="1" applyBorder="1"/>
    <xf numFmtId="0" fontId="0" fillId="0" borderId="11" xfId="0" applyBorder="1"/>
    <xf numFmtId="0" fontId="5" fillId="0" borderId="6" xfId="0" applyFont="1" applyBorder="1" applyAlignment="1">
      <alignment horizontal="center"/>
    </xf>
    <xf numFmtId="166" fontId="0" fillId="0" borderId="12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1" fontId="0" fillId="0" borderId="14" xfId="0" applyNumberFormat="1" applyBorder="1"/>
    <xf numFmtId="0" fontId="5" fillId="0" borderId="15" xfId="0" applyFont="1" applyBorder="1"/>
    <xf numFmtId="0" fontId="5" fillId="0" borderId="0" xfId="0" applyFont="1" applyBorder="1"/>
    <xf numFmtId="0" fontId="2" fillId="0" borderId="6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166" fontId="0" fillId="0" borderId="0" xfId="0" applyNumberFormat="1"/>
    <xf numFmtId="0" fontId="15" fillId="0" borderId="0" xfId="0" applyFont="1"/>
    <xf numFmtId="0" fontId="19" fillId="0" borderId="0" xfId="0" applyFont="1" applyFill="1" applyBorder="1"/>
    <xf numFmtId="0" fontId="19" fillId="0" borderId="0" xfId="0" applyFont="1" applyFill="1" applyBorder="1" applyAlignment="1" applyProtection="1">
      <alignment horizontal="right"/>
      <protection locked="0"/>
    </xf>
    <xf numFmtId="0" fontId="19" fillId="0" borderId="10" xfId="0" applyFont="1" applyFill="1" applyBorder="1" applyAlignment="1">
      <alignment horizontal="center" vertical="center" wrapText="1"/>
    </xf>
    <xf numFmtId="0" fontId="19" fillId="0" borderId="30" xfId="0" applyFont="1" applyFill="1" applyBorder="1" applyAlignment="1">
      <alignment horizontal="center" vertical="center" wrapText="1"/>
    </xf>
    <xf numFmtId="0" fontId="19" fillId="0" borderId="29" xfId="0" applyFont="1" applyFill="1" applyBorder="1" applyAlignment="1">
      <alignment horizontal="center" vertical="center" wrapText="1"/>
    </xf>
    <xf numFmtId="0" fontId="19" fillId="0" borderId="3" xfId="0" applyFont="1" applyFill="1" applyBorder="1" applyAlignment="1">
      <alignment horizontal="center"/>
    </xf>
    <xf numFmtId="164" fontId="19" fillId="0" borderId="4" xfId="0" applyNumberFormat="1" applyFont="1" applyBorder="1" applyAlignment="1">
      <alignment horizontal="center" vertical="center"/>
    </xf>
    <xf numFmtId="2" fontId="19" fillId="0" borderId="4" xfId="0" applyNumberFormat="1" applyFont="1" applyBorder="1" applyAlignment="1">
      <alignment horizontal="center" vertical="center"/>
    </xf>
    <xf numFmtId="167" fontId="19" fillId="0" borderId="4" xfId="0" applyNumberFormat="1" applyFont="1" applyBorder="1" applyAlignment="1">
      <alignment horizontal="center" vertical="center"/>
    </xf>
    <xf numFmtId="0" fontId="19" fillId="0" borderId="6" xfId="0" applyFont="1" applyFill="1" applyBorder="1" applyAlignment="1">
      <alignment horizontal="center"/>
    </xf>
    <xf numFmtId="164" fontId="19" fillId="0" borderId="1" xfId="0" applyNumberFormat="1" applyFont="1" applyBorder="1" applyAlignment="1">
      <alignment horizontal="center" vertical="center"/>
    </xf>
    <xf numFmtId="2" fontId="19" fillId="0" borderId="1" xfId="0" applyNumberFormat="1" applyFont="1" applyBorder="1" applyAlignment="1">
      <alignment horizontal="center" vertical="center"/>
    </xf>
    <xf numFmtId="167" fontId="19" fillId="0" borderId="1" xfId="0" applyNumberFormat="1" applyFont="1" applyBorder="1" applyAlignment="1">
      <alignment horizontal="center" vertical="center"/>
    </xf>
    <xf numFmtId="2" fontId="19" fillId="0" borderId="2" xfId="0" applyNumberFormat="1" applyFont="1" applyBorder="1" applyAlignment="1">
      <alignment horizontal="center" vertical="center"/>
    </xf>
    <xf numFmtId="0" fontId="19" fillId="0" borderId="14" xfId="0" applyFont="1" applyFill="1" applyBorder="1" applyAlignment="1">
      <alignment horizontal="center"/>
    </xf>
    <xf numFmtId="164" fontId="19" fillId="0" borderId="12" xfId="0" applyNumberFormat="1" applyFont="1" applyBorder="1" applyAlignment="1">
      <alignment horizontal="center" vertical="center"/>
    </xf>
    <xf numFmtId="2" fontId="19" fillId="0" borderId="12" xfId="0" applyNumberFormat="1" applyFont="1" applyBorder="1" applyAlignment="1">
      <alignment horizontal="center" vertical="center"/>
    </xf>
    <xf numFmtId="167" fontId="19" fillId="0" borderId="12" xfId="0" applyNumberFormat="1" applyFont="1" applyBorder="1" applyAlignment="1">
      <alignment horizontal="center" vertical="center"/>
    </xf>
    <xf numFmtId="2" fontId="19" fillId="0" borderId="13" xfId="0" applyNumberFormat="1" applyFont="1" applyBorder="1" applyAlignment="1">
      <alignment horizontal="center" vertical="center"/>
    </xf>
    <xf numFmtId="164" fontId="19" fillId="0" borderId="0" xfId="0" applyNumberFormat="1" applyFont="1" applyBorder="1" applyAlignment="1">
      <alignment horizontal="center" vertical="center"/>
    </xf>
    <xf numFmtId="2" fontId="19" fillId="0" borderId="0" xfId="0" applyNumberFormat="1" applyFont="1" applyBorder="1" applyAlignment="1">
      <alignment horizontal="center" vertical="center"/>
    </xf>
    <xf numFmtId="167" fontId="19" fillId="0" borderId="0" xfId="0" applyNumberFormat="1" applyFont="1" applyBorder="1" applyAlignment="1">
      <alignment horizontal="center" vertical="center"/>
    </xf>
    <xf numFmtId="2" fontId="19" fillId="0" borderId="0" xfId="0" applyNumberFormat="1" applyFont="1" applyFill="1" applyBorder="1" applyAlignment="1">
      <alignment horizontal="center" vertical="center"/>
    </xf>
    <xf numFmtId="0" fontId="19" fillId="0" borderId="0" xfId="0" applyFont="1" applyAlignment="1"/>
    <xf numFmtId="0" fontId="19" fillId="0" borderId="0" xfId="0" applyFont="1" applyFill="1" applyBorder="1" applyAlignment="1">
      <alignment horizontal="center"/>
    </xf>
    <xf numFmtId="0" fontId="19" fillId="0" borderId="0" xfId="0" applyFont="1"/>
    <xf numFmtId="0" fontId="19" fillId="0" borderId="24" xfId="0" applyFont="1" applyFill="1" applyBorder="1" applyAlignment="1">
      <alignment horizontal="center" vertical="center" wrapText="1"/>
    </xf>
    <xf numFmtId="0" fontId="19" fillId="0" borderId="28" xfId="0" applyFont="1" applyFill="1" applyBorder="1" applyAlignment="1">
      <alignment horizontal="center"/>
    </xf>
    <xf numFmtId="0" fontId="19" fillId="0" borderId="10" xfId="0" applyFont="1" applyFill="1" applyBorder="1"/>
    <xf numFmtId="0" fontId="19" fillId="0" borderId="22" xfId="0" applyFont="1" applyFill="1" applyBorder="1" applyAlignment="1"/>
    <xf numFmtId="0" fontId="19" fillId="0" borderId="26" xfId="0" applyFont="1" applyFill="1" applyBorder="1" applyAlignment="1"/>
    <xf numFmtId="0" fontId="19" fillId="0" borderId="15" xfId="0" applyFont="1" applyFill="1" applyBorder="1"/>
    <xf numFmtId="0" fontId="19" fillId="0" borderId="7" xfId="0" applyFont="1" applyFill="1" applyBorder="1"/>
    <xf numFmtId="0" fontId="19" fillId="0" borderId="11" xfId="0" applyFont="1" applyFill="1" applyBorder="1"/>
    <xf numFmtId="0" fontId="19" fillId="0" borderId="9" xfId="0" applyFont="1" applyFill="1" applyBorder="1"/>
    <xf numFmtId="0" fontId="19" fillId="0" borderId="8" xfId="0" applyFont="1" applyFill="1" applyBorder="1"/>
    <xf numFmtId="2" fontId="19" fillId="0" borderId="33" xfId="0" applyNumberFormat="1" applyFont="1" applyBorder="1" applyAlignment="1">
      <alignment horizontal="center" vertical="center"/>
    </xf>
    <xf numFmtId="2" fontId="19" fillId="0" borderId="16" xfId="0" applyNumberFormat="1" applyFont="1" applyBorder="1" applyAlignment="1">
      <alignment horizontal="center" vertical="center"/>
    </xf>
    <xf numFmtId="0" fontId="19" fillId="0" borderId="31" xfId="0" applyFont="1" applyFill="1" applyBorder="1" applyAlignment="1">
      <alignment horizontal="center"/>
    </xf>
    <xf numFmtId="164" fontId="19" fillId="0" borderId="32" xfId="0" applyNumberFormat="1" applyFont="1" applyBorder="1" applyAlignment="1">
      <alignment horizontal="center" vertical="center"/>
    </xf>
    <xf numFmtId="2" fontId="19" fillId="0" borderId="32" xfId="0" applyNumberFormat="1" applyFont="1" applyBorder="1" applyAlignment="1">
      <alignment horizontal="center" vertical="center"/>
    </xf>
    <xf numFmtId="167" fontId="19" fillId="0" borderId="32" xfId="0" applyNumberFormat="1" applyFont="1" applyBorder="1" applyAlignment="1">
      <alignment horizontal="center" vertical="center"/>
    </xf>
    <xf numFmtId="2" fontId="19" fillId="0" borderId="34" xfId="0" applyNumberFormat="1" applyFont="1" applyBorder="1" applyAlignment="1">
      <alignment horizontal="center" vertical="center"/>
    </xf>
    <xf numFmtId="0" fontId="19" fillId="0" borderId="1" xfId="0" applyFont="1" applyBorder="1"/>
    <xf numFmtId="0" fontId="19" fillId="0" borderId="16" xfId="0" applyFont="1" applyBorder="1"/>
    <xf numFmtId="0" fontId="19" fillId="0" borderId="12" xfId="0" applyFont="1" applyBorder="1"/>
    <xf numFmtId="0" fontId="19" fillId="0" borderId="19" xfId="0" applyFont="1" applyBorder="1"/>
    <xf numFmtId="0" fontId="21" fillId="0" borderId="0" xfId="0" applyFont="1"/>
    <xf numFmtId="0" fontId="19" fillId="0" borderId="0" xfId="0" applyFont="1" applyAlignment="1">
      <alignment horizontal="right"/>
    </xf>
    <xf numFmtId="0" fontId="14" fillId="0" borderId="0" xfId="0" applyFont="1"/>
    <xf numFmtId="0" fontId="5" fillId="0" borderId="3" xfId="0" applyFont="1" applyFill="1" applyBorder="1" applyAlignment="1">
      <alignment horizontal="center"/>
    </xf>
    <xf numFmtId="164" fontId="5" fillId="0" borderId="4" xfId="0" applyNumberFormat="1" applyFont="1" applyBorder="1" applyAlignment="1">
      <alignment horizontal="center" vertical="center"/>
    </xf>
    <xf numFmtId="2" fontId="5" fillId="0" borderId="4" xfId="0" applyNumberFormat="1" applyFont="1" applyBorder="1" applyAlignment="1">
      <alignment horizontal="center" vertical="center"/>
    </xf>
    <xf numFmtId="167" fontId="5" fillId="0" borderId="4" xfId="0" applyNumberFormat="1" applyFont="1" applyBorder="1" applyAlignment="1">
      <alignment horizontal="center" vertical="center"/>
    </xf>
    <xf numFmtId="2" fontId="5" fillId="0" borderId="5" xfId="0" applyNumberFormat="1" applyFont="1" applyBorder="1" applyAlignment="1">
      <alignment horizontal="center" vertical="center"/>
    </xf>
    <xf numFmtId="2" fontId="19" fillId="0" borderId="25" xfId="0" applyNumberFormat="1" applyFont="1" applyFill="1" applyBorder="1" applyAlignment="1">
      <alignment horizontal="center" vertical="center"/>
    </xf>
    <xf numFmtId="2" fontId="19" fillId="0" borderId="3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0" xfId="0" applyFont="1" applyAlignment="1"/>
    <xf numFmtId="0" fontId="5" fillId="0" borderId="16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2" fontId="2" fillId="0" borderId="16" xfId="0" applyNumberFormat="1" applyFont="1" applyBorder="1" applyAlignment="1">
      <alignment horizontal="center"/>
    </xf>
    <xf numFmtId="2" fontId="2" fillId="0" borderId="18" xfId="0" applyNumberFormat="1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164" fontId="2" fillId="0" borderId="16" xfId="0" applyNumberFormat="1" applyFont="1" applyBorder="1" applyAlignment="1">
      <alignment horizontal="center"/>
    </xf>
    <xf numFmtId="164" fontId="2" fillId="0" borderId="18" xfId="0" applyNumberFormat="1" applyFont="1" applyBorder="1" applyAlignment="1">
      <alignment horizontal="center"/>
    </xf>
    <xf numFmtId="2" fontId="2" fillId="0" borderId="19" xfId="0" applyNumberFormat="1" applyFont="1" applyBorder="1" applyAlignment="1">
      <alignment horizontal="center"/>
    </xf>
    <xf numFmtId="2" fontId="2" fillId="0" borderId="20" xfId="0" applyNumberFormat="1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2" fillId="0" borderId="19" xfId="0" applyNumberFormat="1" applyFont="1" applyBorder="1" applyAlignment="1">
      <alignment horizontal="center"/>
    </xf>
    <xf numFmtId="164" fontId="2" fillId="0" borderId="20" xfId="0" applyNumberFormat="1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27" xfId="0" applyFont="1" applyBorder="1" applyAlignment="1">
      <alignment horizontal="center"/>
    </xf>
    <xf numFmtId="0" fontId="2" fillId="0" borderId="0" xfId="0" applyFont="1" applyAlignment="1">
      <alignment horizontal="center"/>
    </xf>
    <xf numFmtId="22" fontId="0" fillId="0" borderId="28" xfId="0" applyNumberFormat="1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0" xfId="0" applyAlignment="1">
      <alignment horizontal="left"/>
    </xf>
    <xf numFmtId="0" fontId="5" fillId="0" borderId="22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7" fillId="0" borderId="0" xfId="0" applyFont="1" applyAlignment="1">
      <alignment horizontal="left"/>
    </xf>
    <xf numFmtId="0" fontId="2" fillId="0" borderId="0" xfId="0" applyFont="1" applyBorder="1" applyAlignment="1" applyProtection="1">
      <alignment horizontal="right"/>
      <protection locked="0"/>
    </xf>
    <xf numFmtId="0" fontId="2" fillId="0" borderId="0" xfId="0" applyFont="1" applyBorder="1" applyAlignment="1">
      <alignment horizontal="left"/>
    </xf>
    <xf numFmtId="49" fontId="2" fillId="0" borderId="0" xfId="0" applyNumberFormat="1" applyFont="1" applyBorder="1" applyAlignment="1" applyProtection="1">
      <alignment horizontal="left"/>
      <protection locked="0"/>
    </xf>
    <xf numFmtId="0" fontId="5" fillId="0" borderId="26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9" fontId="2" fillId="0" borderId="0" xfId="0" applyNumberFormat="1" applyFont="1" applyBorder="1" applyAlignment="1" applyProtection="1">
      <alignment horizontal="right"/>
      <protection locked="0"/>
    </xf>
    <xf numFmtId="0" fontId="6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5" fillId="0" borderId="2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 vertical="center" textRotation="180"/>
    </xf>
    <xf numFmtId="164" fontId="19" fillId="0" borderId="19" xfId="0" applyNumberFormat="1" applyFont="1" applyFill="1" applyBorder="1" applyAlignment="1">
      <alignment horizontal="center"/>
    </xf>
    <xf numFmtId="164" fontId="19" fillId="0" borderId="20" xfId="0" applyNumberFormat="1" applyFont="1" applyFill="1" applyBorder="1" applyAlignment="1">
      <alignment horizontal="center"/>
    </xf>
    <xf numFmtId="1" fontId="19" fillId="0" borderId="19" xfId="0" applyNumberFormat="1" applyFont="1" applyFill="1" applyBorder="1" applyAlignment="1">
      <alignment horizontal="center"/>
    </xf>
    <xf numFmtId="1" fontId="19" fillId="0" borderId="20" xfId="0" applyNumberFormat="1" applyFont="1" applyFill="1" applyBorder="1" applyAlignment="1">
      <alignment horizontal="center"/>
    </xf>
    <xf numFmtId="0" fontId="19" fillId="0" borderId="19" xfId="0" applyFont="1" applyFill="1" applyBorder="1" applyAlignment="1">
      <alignment horizontal="center"/>
    </xf>
    <xf numFmtId="0" fontId="19" fillId="0" borderId="21" xfId="0" applyFont="1" applyFill="1" applyBorder="1" applyAlignment="1">
      <alignment horizontal="center"/>
    </xf>
    <xf numFmtId="2" fontId="19" fillId="0" borderId="29" xfId="0" applyNumberFormat="1" applyFont="1" applyFill="1" applyBorder="1" applyAlignment="1">
      <alignment horizontal="center" vertical="center"/>
    </xf>
    <xf numFmtId="2" fontId="19" fillId="0" borderId="35" xfId="0" applyNumberFormat="1" applyFont="1" applyFill="1" applyBorder="1" applyAlignment="1">
      <alignment horizontal="center" vertical="center"/>
    </xf>
    <xf numFmtId="2" fontId="19" fillId="0" borderId="36" xfId="0" applyNumberFormat="1" applyFont="1" applyFill="1" applyBorder="1" applyAlignment="1">
      <alignment horizontal="center" vertical="center"/>
    </xf>
    <xf numFmtId="164" fontId="19" fillId="0" borderId="16" xfId="0" applyNumberFormat="1" applyFont="1" applyFill="1" applyBorder="1" applyAlignment="1">
      <alignment horizontal="center"/>
    </xf>
    <xf numFmtId="164" fontId="19" fillId="0" borderId="18" xfId="0" applyNumberFormat="1" applyFont="1" applyFill="1" applyBorder="1" applyAlignment="1">
      <alignment horizontal="center"/>
    </xf>
    <xf numFmtId="2" fontId="19" fillId="0" borderId="28" xfId="0" applyNumberFormat="1" applyFont="1" applyFill="1" applyBorder="1" applyAlignment="1">
      <alignment horizontal="center"/>
    </xf>
    <xf numFmtId="0" fontId="19" fillId="0" borderId="22" xfId="0" applyFont="1" applyFill="1" applyBorder="1" applyAlignment="1">
      <alignment horizontal="center"/>
    </xf>
    <xf numFmtId="0" fontId="19" fillId="0" borderId="26" xfId="0" applyFont="1" applyFill="1" applyBorder="1" applyAlignment="1">
      <alignment horizontal="center"/>
    </xf>
    <xf numFmtId="0" fontId="19" fillId="0" borderId="16" xfId="0" applyFont="1" applyFill="1" applyBorder="1" applyAlignment="1">
      <alignment horizontal="center"/>
    </xf>
    <xf numFmtId="0" fontId="19" fillId="0" borderId="17" xfId="0" applyFont="1" applyFill="1" applyBorder="1" applyAlignment="1">
      <alignment horizontal="center"/>
    </xf>
    <xf numFmtId="1" fontId="19" fillId="0" borderId="16" xfId="0" applyNumberFormat="1" applyFont="1" applyFill="1" applyBorder="1" applyAlignment="1">
      <alignment horizontal="center"/>
    </xf>
    <xf numFmtId="1" fontId="19" fillId="0" borderId="18" xfId="0" applyNumberFormat="1" applyFont="1" applyFill="1" applyBorder="1" applyAlignment="1">
      <alignment horizontal="center"/>
    </xf>
    <xf numFmtId="0" fontId="19" fillId="0" borderId="18" xfId="0" applyFont="1" applyFill="1" applyBorder="1" applyAlignment="1">
      <alignment horizontal="center"/>
    </xf>
    <xf numFmtId="0" fontId="19" fillId="0" borderId="9" xfId="0" applyFont="1" applyFill="1" applyBorder="1" applyAlignment="1">
      <alignment horizontal="center"/>
    </xf>
    <xf numFmtId="0" fontId="19" fillId="0" borderId="8" xfId="0" applyFont="1" applyFill="1" applyBorder="1" applyAlignment="1">
      <alignment horizontal="center"/>
    </xf>
    <xf numFmtId="0" fontId="19" fillId="0" borderId="23" xfId="0" applyFont="1" applyFill="1" applyBorder="1" applyAlignment="1">
      <alignment horizontal="center"/>
    </xf>
    <xf numFmtId="0" fontId="19" fillId="0" borderId="24" xfId="0" applyFont="1" applyFill="1" applyBorder="1" applyAlignment="1">
      <alignment horizontal="center"/>
    </xf>
    <xf numFmtId="0" fontId="19" fillId="0" borderId="7" xfId="0" applyFont="1" applyFill="1" applyBorder="1" applyAlignment="1">
      <alignment horizontal="center"/>
    </xf>
    <xf numFmtId="0" fontId="19" fillId="0" borderId="25" xfId="0" applyFont="1" applyFill="1" applyBorder="1" applyAlignment="1">
      <alignment horizontal="center"/>
    </xf>
    <xf numFmtId="0" fontId="19" fillId="0" borderId="27" xfId="0" applyFont="1" applyFill="1" applyBorder="1" applyAlignment="1">
      <alignment horizontal="center"/>
    </xf>
    <xf numFmtId="0" fontId="19" fillId="0" borderId="15" xfId="0" applyFont="1" applyBorder="1" applyAlignment="1">
      <alignment horizontal="center" vertical="center" wrapText="1"/>
    </xf>
    <xf numFmtId="0" fontId="19" fillId="0" borderId="15" xfId="0" applyFont="1" applyBorder="1" applyAlignment="1">
      <alignment vertical="center" wrapText="1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164" fontId="19" fillId="0" borderId="0" xfId="0" applyNumberFormat="1" applyFont="1" applyFill="1" applyBorder="1" applyAlignment="1" applyProtection="1">
      <alignment horizontal="center" vertical="center"/>
      <protection locked="0"/>
    </xf>
    <xf numFmtId="2" fontId="19" fillId="0" borderId="0" xfId="0" applyNumberFormat="1" applyFont="1" applyFill="1" applyBorder="1" applyAlignment="1" applyProtection="1">
      <alignment horizontal="center" vertical="center"/>
      <protection locked="0"/>
    </xf>
    <xf numFmtId="167" fontId="19" fillId="0" borderId="0" xfId="0" applyNumberFormat="1" applyFont="1" applyFill="1" applyBorder="1" applyAlignment="1" applyProtection="1">
      <alignment horizontal="center" vertical="center"/>
      <protection locked="0"/>
    </xf>
    <xf numFmtId="2" fontId="19" fillId="0" borderId="0" xfId="0" applyNumberFormat="1" applyFont="1" applyFill="1" applyBorder="1" applyAlignment="1" applyProtection="1">
      <alignment horizontal="center" vertical="center"/>
      <protection locked="0"/>
    </xf>
    <xf numFmtId="2" fontId="19" fillId="0" borderId="0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/>
      <protection locked="0"/>
    </xf>
    <xf numFmtId="164" fontId="19" fillId="0" borderId="0" xfId="0" applyNumberFormat="1" applyFont="1" applyBorder="1" applyAlignment="1" applyProtection="1">
      <alignment horizontal="center" vertical="center"/>
      <protection locked="0"/>
    </xf>
    <xf numFmtId="167" fontId="19" fillId="0" borderId="0" xfId="0" applyNumberFormat="1" applyFont="1" applyBorder="1" applyAlignment="1" applyProtection="1">
      <alignment horizontal="center" vertical="center"/>
      <protection locked="0"/>
    </xf>
    <xf numFmtId="0" fontId="15" fillId="0" borderId="0" xfId="0" applyFont="1" applyProtection="1">
      <protection locked="0"/>
    </xf>
    <xf numFmtId="0" fontId="15" fillId="0" borderId="0" xfId="0" applyFont="1" applyFill="1" applyBorder="1" applyProtection="1">
      <protection locked="0"/>
    </xf>
    <xf numFmtId="0" fontId="15" fillId="0" borderId="0" xfId="0" applyFont="1" applyBorder="1" applyProtection="1">
      <protection locked="0"/>
    </xf>
    <xf numFmtId="0" fontId="19" fillId="0" borderId="38" xfId="0" applyFont="1" applyFill="1" applyBorder="1" applyAlignment="1" applyProtection="1">
      <alignment horizontal="center" vertical="center" wrapText="1"/>
      <protection locked="0"/>
    </xf>
    <xf numFmtId="0" fontId="19" fillId="0" borderId="39" xfId="0" applyFont="1" applyFill="1" applyBorder="1" applyAlignment="1" applyProtection="1">
      <alignment horizontal="center" vertical="center" wrapText="1"/>
      <protection locked="0"/>
    </xf>
    <xf numFmtId="0" fontId="19" fillId="0" borderId="40" xfId="0" applyFont="1" applyFill="1" applyBorder="1" applyAlignment="1" applyProtection="1">
      <alignment horizontal="center" vertical="center" wrapText="1"/>
      <protection locked="0"/>
    </xf>
    <xf numFmtId="0" fontId="22" fillId="0" borderId="39" xfId="0" applyFont="1" applyFill="1" applyBorder="1" applyAlignment="1" applyProtection="1">
      <alignment horizontal="center" vertical="center" wrapText="1"/>
      <protection locked="0"/>
    </xf>
    <xf numFmtId="0" fontId="17" fillId="0" borderId="0" xfId="0" applyFont="1" applyFill="1" applyBorder="1" applyAlignment="1" applyProtection="1">
      <alignment horizontal="center"/>
      <protection locked="0"/>
    </xf>
    <xf numFmtId="19" fontId="15" fillId="0" borderId="0" xfId="0" applyNumberFormat="1" applyFont="1" applyFill="1" applyBorder="1" applyProtection="1">
      <protection locked="0"/>
    </xf>
    <xf numFmtId="0" fontId="17" fillId="0" borderId="0" xfId="0" applyFont="1" applyFill="1" applyBorder="1" applyAlignment="1" applyProtection="1">
      <alignment horizontal="center"/>
      <protection locked="0"/>
    </xf>
    <xf numFmtId="0" fontId="19" fillId="0" borderId="0" xfId="0" applyFont="1" applyFill="1" applyBorder="1" applyAlignment="1" applyProtection="1">
      <alignment horizontal="center"/>
      <protection locked="0"/>
    </xf>
    <xf numFmtId="0" fontId="16" fillId="0" borderId="0" xfId="0" applyFont="1" applyFill="1" applyBorder="1" applyAlignment="1" applyProtection="1">
      <alignment horizontal="center"/>
      <protection locked="0"/>
    </xf>
    <xf numFmtId="0" fontId="19" fillId="0" borderId="0" xfId="0" applyFont="1" applyFill="1" applyBorder="1" applyProtection="1">
      <protection locked="0"/>
    </xf>
    <xf numFmtId="0" fontId="19" fillId="0" borderId="0" xfId="0" applyFont="1" applyFill="1" applyBorder="1" applyAlignment="1" applyProtection="1">
      <alignment horizontal="left" vertical="top" wrapText="1"/>
      <protection locked="0"/>
    </xf>
    <xf numFmtId="0" fontId="19" fillId="0" borderId="0" xfId="0" applyFont="1" applyFill="1" applyBorder="1" applyAlignment="1" applyProtection="1">
      <alignment vertical="top"/>
      <protection locked="0"/>
    </xf>
    <xf numFmtId="0" fontId="19" fillId="2" borderId="0" xfId="0" applyFont="1" applyFill="1" applyProtection="1">
      <protection locked="0"/>
    </xf>
    <xf numFmtId="0" fontId="19" fillId="2" borderId="0" xfId="0" applyFont="1" applyFill="1" applyBorder="1" applyAlignment="1" applyProtection="1">
      <alignment vertical="top"/>
      <protection locked="0"/>
    </xf>
    <xf numFmtId="0" fontId="19" fillId="0" borderId="0" xfId="0" applyFont="1" applyFill="1" applyBorder="1" applyAlignment="1" applyProtection="1">
      <alignment horizontal="left" vertical="center"/>
      <protection locked="0"/>
    </xf>
    <xf numFmtId="0" fontId="19" fillId="2" borderId="0" xfId="0" applyFont="1" applyFill="1" applyBorder="1" applyAlignment="1" applyProtection="1">
      <alignment horizontal="left" vertical="center"/>
      <protection locked="0"/>
    </xf>
    <xf numFmtId="0" fontId="19" fillId="2" borderId="0" xfId="0" applyFont="1" applyFill="1" applyBorder="1" applyAlignment="1" applyProtection="1">
      <alignment horizontal="left" vertical="top"/>
      <protection locked="0"/>
    </xf>
    <xf numFmtId="0" fontId="19" fillId="0" borderId="0" xfId="0" applyFont="1" applyFill="1" applyBorder="1" applyAlignment="1" applyProtection="1">
      <alignment horizontal="left" vertical="top"/>
      <protection locked="0"/>
    </xf>
    <xf numFmtId="0" fontId="19" fillId="0" borderId="0" xfId="0" applyFont="1" applyFill="1" applyBorder="1" applyAlignment="1" applyProtection="1">
      <alignment vertical="center"/>
      <protection locked="0"/>
    </xf>
    <xf numFmtId="0" fontId="19" fillId="2" borderId="0" xfId="0" applyFont="1" applyFill="1" applyBorder="1" applyAlignment="1" applyProtection="1">
      <alignment horizontal="left" vertical="center" wrapText="1"/>
      <protection locked="0"/>
    </xf>
    <xf numFmtId="14" fontId="19" fillId="2" borderId="0" xfId="0" applyNumberFormat="1" applyFont="1" applyFill="1" applyBorder="1" applyAlignment="1" applyProtection="1">
      <alignment horizontal="left" vertical="top"/>
      <protection locked="0"/>
    </xf>
    <xf numFmtId="0" fontId="19" fillId="2" borderId="0" xfId="0" applyFont="1" applyFill="1" applyAlignment="1" applyProtection="1">
      <protection locked="0"/>
    </xf>
    <xf numFmtId="0" fontId="19" fillId="0" borderId="0" xfId="0" applyFont="1" applyFill="1" applyBorder="1" applyAlignment="1" applyProtection="1">
      <alignment vertical="top" wrapText="1"/>
      <protection locked="0"/>
    </xf>
    <xf numFmtId="0" fontId="19" fillId="2" borderId="0" xfId="0" applyFont="1" applyFill="1" applyBorder="1" applyAlignment="1" applyProtection="1">
      <alignment horizontal="right"/>
      <protection locked="0"/>
    </xf>
    <xf numFmtId="168" fontId="15" fillId="0" borderId="0" xfId="0" applyNumberFormat="1" applyFont="1" applyFill="1" applyBorder="1" applyProtection="1">
      <protection locked="0"/>
    </xf>
    <xf numFmtId="9" fontId="19" fillId="0" borderId="0" xfId="0" applyNumberFormat="1" applyFont="1" applyFill="1" applyBorder="1" applyAlignment="1" applyProtection="1">
      <protection locked="0"/>
    </xf>
    <xf numFmtId="49" fontId="19" fillId="2" borderId="0" xfId="0" applyNumberFormat="1" applyFont="1" applyFill="1" applyBorder="1" applyAlignment="1" applyProtection="1">
      <alignment horizontal="right"/>
      <protection locked="0"/>
    </xf>
    <xf numFmtId="9" fontId="19" fillId="0" borderId="0" xfId="0" applyNumberFormat="1" applyFont="1" applyFill="1" applyBorder="1" applyAlignment="1" applyProtection="1">
      <alignment horizontal="right"/>
      <protection locked="0"/>
    </xf>
    <xf numFmtId="0" fontId="19" fillId="2" borderId="0" xfId="0" applyFont="1" applyFill="1" applyBorder="1" applyProtection="1">
      <protection locked="0"/>
    </xf>
    <xf numFmtId="0" fontId="19" fillId="0" borderId="0" xfId="0" applyFont="1" applyFill="1" applyBorder="1" applyAlignment="1" applyProtection="1">
      <alignment horizontal="left"/>
      <protection locked="0"/>
    </xf>
    <xf numFmtId="0" fontId="19" fillId="2" borderId="0" xfId="0" applyFont="1" applyFill="1" applyBorder="1" applyAlignment="1" applyProtection="1">
      <alignment horizontal="left"/>
      <protection locked="0"/>
    </xf>
    <xf numFmtId="0" fontId="19" fillId="0" borderId="0" xfId="0" applyFont="1" applyFill="1" applyBorder="1" applyAlignment="1" applyProtection="1">
      <protection locked="0"/>
    </xf>
    <xf numFmtId="164" fontId="15" fillId="0" borderId="0" xfId="0" applyNumberFormat="1" applyFont="1" applyFill="1" applyBorder="1" applyProtection="1">
      <protection locked="0"/>
    </xf>
    <xf numFmtId="2" fontId="15" fillId="0" borderId="0" xfId="0" applyNumberFormat="1" applyFont="1" applyFill="1" applyBorder="1" applyProtection="1">
      <protection locked="0"/>
    </xf>
    <xf numFmtId="166" fontId="15" fillId="0" borderId="0" xfId="0" applyNumberFormat="1" applyFont="1" applyFill="1" applyBorder="1" applyProtection="1">
      <protection locked="0"/>
    </xf>
    <xf numFmtId="0" fontId="18" fillId="0" borderId="0" xfId="0" applyFont="1" applyFill="1" applyBorder="1" applyProtection="1">
      <protection locked="0"/>
    </xf>
    <xf numFmtId="0" fontId="18" fillId="0" borderId="0" xfId="0" applyFont="1" applyBorder="1" applyProtection="1">
      <protection locked="0"/>
    </xf>
  </cellXfs>
  <cellStyles count="3">
    <cellStyle name="Обычный" xfId="0" builtinId="0"/>
    <cellStyle name="Обычный 2" xfId="2" xr:uid="{00000000-0005-0000-0000-000001000000}"/>
    <cellStyle name="Обычный 4" xfId="1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28939339433995"/>
          <c:y val="8.4396304865814523E-2"/>
          <c:w val="0.86715482899662921"/>
          <c:h val="0.75969353960150299"/>
        </c:manualLayout>
      </c:layout>
      <c:scatterChart>
        <c:scatterStyle val="smoothMarker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marker>
            <c:symbol val="circle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Лист1!$Q$3:$Q$6</c:f>
              <c:numCache>
                <c:formatCode>General</c:formatCode>
                <c:ptCount val="4"/>
                <c:pt idx="0">
                  <c:v>14.4291</c:v>
                </c:pt>
                <c:pt idx="1">
                  <c:v>39.7669</c:v>
                </c:pt>
                <c:pt idx="2">
                  <c:v>64.927499999999995</c:v>
                </c:pt>
                <c:pt idx="3">
                  <c:v>1</c:v>
                </c:pt>
              </c:numCache>
            </c:numRef>
          </c:xVal>
          <c:yVal>
            <c:numRef>
              <c:f>Лист1!$R$3:$R$6</c:f>
              <c:numCache>
                <c:formatCode>General</c:formatCode>
                <c:ptCount val="4"/>
                <c:pt idx="0">
                  <c:v>0.14272879617181106</c:v>
                </c:pt>
                <c:pt idx="1">
                  <c:v>5.6674261788823649E-2</c:v>
                </c:pt>
                <c:pt idx="2">
                  <c:v>-0.14799999999999999</c:v>
                </c:pt>
                <c:pt idx="3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67-0B41-AF8D-3AC72A930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288064"/>
        <c:axId val="107491328"/>
      </c:scatterChart>
      <c:valAx>
        <c:axId val="107288064"/>
        <c:scaling>
          <c:orientation val="minMax"/>
        </c:scaling>
        <c:delete val="0"/>
        <c:axPos val="b"/>
        <c:majorGridlines>
          <c:spPr>
            <a:ln w="9525">
              <a:solidFill>
                <a:sysClr val="windowText" lastClr="000000"/>
              </a:solidFill>
            </a:ln>
          </c:spPr>
        </c:majorGridlines>
        <c:minorGridlines>
          <c:spPr>
            <a:ln>
              <a:solidFill>
                <a:sysClr val="windowText" lastClr="000000">
                  <a:alpha val="30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Расход,</a:t>
                </a:r>
                <a:r>
                  <a:rPr lang="ru-RU" sz="1200" baseline="0"/>
                  <a:t> м</a:t>
                </a:r>
                <a:r>
                  <a:rPr lang="ru-RU" sz="1200" baseline="30000"/>
                  <a:t>3</a:t>
                </a:r>
                <a:r>
                  <a:rPr lang="ru-RU" sz="1200" baseline="0"/>
                  <a:t>/ч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solidFill>
            <a:sysClr val="window" lastClr="FFFFFF">
              <a:alpha val="50000"/>
            </a:sysClr>
          </a:solidFill>
          <a:ln w="25400"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07491328"/>
        <c:crossesAt val="0"/>
        <c:crossBetween val="midCat"/>
      </c:valAx>
      <c:valAx>
        <c:axId val="107491328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>
          <c:spPr>
            <a:ln>
              <a:solidFill>
                <a:sysClr val="windowText" lastClr="000000">
                  <a:alpha val="30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Погрешность, %</a:t>
                </a:r>
              </a:p>
            </c:rich>
          </c:tx>
          <c:layout>
            <c:manualLayout>
              <c:xMode val="edge"/>
              <c:yMode val="edge"/>
              <c:x val="1.3007047976870896E-2"/>
              <c:y val="0.19909416709741187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spPr>
          <a:ln w="2540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aseline="0"/>
            </a:pPr>
            <a:endParaRPr lang="ru-RU"/>
          </a:p>
        </c:txPr>
        <c:crossAx val="107288064"/>
        <c:crosses val="autoZero"/>
        <c:crossBetween val="midCat"/>
        <c:majorUnit val="0.1"/>
        <c:minorUnit val="4.0000000000000022E-2"/>
      </c:valAx>
      <c:spPr>
        <a:noFill/>
        <a:ln>
          <a:solidFill>
            <a:schemeClr val="tx1">
              <a:alpha val="94000"/>
            </a:schemeClr>
          </a:solidFill>
        </a:ln>
      </c:spPr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2.png"/><Relationship Id="rId7" Type="http://schemas.openxmlformats.org/officeDocument/2006/relationships/image" Target="../media/image6.emf"/><Relationship Id="rId12" Type="http://schemas.openxmlformats.org/officeDocument/2006/relationships/image" Target="../media/image11.emf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emf"/><Relationship Id="rId11" Type="http://schemas.openxmlformats.org/officeDocument/2006/relationships/image" Target="../media/image10.emf"/><Relationship Id="rId5" Type="http://schemas.openxmlformats.org/officeDocument/2006/relationships/image" Target="../media/image4.emf"/><Relationship Id="rId10" Type="http://schemas.openxmlformats.org/officeDocument/2006/relationships/image" Target="../media/image9.emf"/><Relationship Id="rId4" Type="http://schemas.openxmlformats.org/officeDocument/2006/relationships/image" Target="../media/image3.emf"/><Relationship Id="rId9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39</xdr:row>
      <xdr:rowOff>11206</xdr:rowOff>
    </xdr:from>
    <xdr:to>
      <xdr:col>10</xdr:col>
      <xdr:colOff>560295</xdr:colOff>
      <xdr:row>51</xdr:row>
      <xdr:rowOff>0</xdr:rowOff>
    </xdr:to>
    <xdr:graphicFrame macro="">
      <xdr:nvGraphicFramePr>
        <xdr:cNvPr id="3" name="Диаграмма 2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586596</xdr:colOff>
      <xdr:row>5</xdr:row>
      <xdr:rowOff>11543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/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2353" y="638735"/>
          <a:ext cx="586596" cy="448573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358588</xdr:colOff>
      <xdr:row>2</xdr:row>
      <xdr:rowOff>190500</xdr:rowOff>
    </xdr:from>
    <xdr:to>
      <xdr:col>9</xdr:col>
      <xdr:colOff>872377</xdr:colOff>
      <xdr:row>4</xdr:row>
      <xdr:rowOff>190499</xdr:rowOff>
    </xdr:to>
    <xdr:pic>
      <xdr:nvPicPr>
        <xdr:cNvPr id="5" name="Рисунок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5647764" y="627529"/>
          <a:ext cx="1343025" cy="43702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12</xdr:col>
      <xdr:colOff>647700</xdr:colOff>
      <xdr:row>14</xdr:row>
      <xdr:rowOff>304800</xdr:rowOff>
    </xdr:from>
    <xdr:to>
      <xdr:col>20</xdr:col>
      <xdr:colOff>5773</xdr:colOff>
      <xdr:row>16</xdr:row>
      <xdr:rowOff>6927</xdr:rowOff>
    </xdr:to>
    <xdr:pic>
      <xdr:nvPicPr>
        <xdr:cNvPr id="1025" name="ComboBox1">
          <a:extLs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83800" y="3657600"/>
          <a:ext cx="393700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101600</xdr:colOff>
      <xdr:row>14</xdr:row>
      <xdr:rowOff>304800</xdr:rowOff>
    </xdr:from>
    <xdr:to>
      <xdr:col>12</xdr:col>
      <xdr:colOff>215900</xdr:colOff>
      <xdr:row>16</xdr:row>
      <xdr:rowOff>25400</xdr:rowOff>
    </xdr:to>
    <xdr:pic>
      <xdr:nvPicPr>
        <xdr:cNvPr id="1026" name="CommandButton1">
          <a:extLs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26500" y="3657600"/>
          <a:ext cx="825500" cy="292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114300</xdr:colOff>
      <xdr:row>16</xdr:row>
      <xdr:rowOff>76200</xdr:rowOff>
    </xdr:from>
    <xdr:to>
      <xdr:col>12</xdr:col>
      <xdr:colOff>241300</xdr:colOff>
      <xdr:row>17</xdr:row>
      <xdr:rowOff>152400</xdr:rowOff>
    </xdr:to>
    <xdr:pic>
      <xdr:nvPicPr>
        <xdr:cNvPr id="1027" name="CommandButton2">
          <a:extLs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39200" y="4000500"/>
          <a:ext cx="838200" cy="317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0</xdr:colOff>
      <xdr:row>1</xdr:row>
      <xdr:rowOff>63500</xdr:rowOff>
    </xdr:from>
    <xdr:to>
      <xdr:col>15</xdr:col>
      <xdr:colOff>266700</xdr:colOff>
      <xdr:row>3</xdr:row>
      <xdr:rowOff>0</xdr:rowOff>
    </xdr:to>
    <xdr:pic>
      <xdr:nvPicPr>
        <xdr:cNvPr id="1036" name="CommandButton3">
          <a:extLst>
            <a:ext uri="{FF2B5EF4-FFF2-40B4-BE49-F238E27FC236}">
              <a16:creationId xmlns:a16="http://schemas.microsoft.com/office/drawing/2014/main" id="{00000000-0008-0000-0100-00000C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36100" y="292100"/>
          <a:ext cx="1765300" cy="34290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pic>
    <xdr:clientData/>
  </xdr:twoCellAnchor>
  <xdr:twoCellAnchor editAs="oneCell">
    <xdr:from>
      <xdr:col>3</xdr:col>
      <xdr:colOff>558800</xdr:colOff>
      <xdr:row>5</xdr:row>
      <xdr:rowOff>304800</xdr:rowOff>
    </xdr:from>
    <xdr:to>
      <xdr:col>8</xdr:col>
      <xdr:colOff>533400</xdr:colOff>
      <xdr:row>7</xdr:row>
      <xdr:rowOff>38100</xdr:rowOff>
    </xdr:to>
    <xdr:pic>
      <xdr:nvPicPr>
        <xdr:cNvPr id="1040" name="ComboBox2">
          <a:extLst>
            <a:ext uri="{FF2B5EF4-FFF2-40B4-BE49-F238E27FC236}">
              <a16:creationId xmlns:a16="http://schemas.microsoft.com/office/drawing/2014/main" id="{00000000-0008-0000-0100-000010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8300" y="1295400"/>
          <a:ext cx="368300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50</xdr:row>
      <xdr:rowOff>139700</xdr:rowOff>
    </xdr:from>
    <xdr:to>
      <xdr:col>7</xdr:col>
      <xdr:colOff>6724</xdr:colOff>
      <xdr:row>51</xdr:row>
      <xdr:rowOff>177800</xdr:rowOff>
    </xdr:to>
    <xdr:pic>
      <xdr:nvPicPr>
        <xdr:cNvPr id="1045" name="ComboBox5">
          <a:extLst>
            <a:ext uri="{FF2B5EF4-FFF2-40B4-BE49-F238E27FC236}">
              <a16:creationId xmlns:a16="http://schemas.microsoft.com/office/drawing/2014/main" id="{00000000-0008-0000-0100-000015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684000"/>
          <a:ext cx="53467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63500</xdr:colOff>
      <xdr:row>13</xdr:row>
      <xdr:rowOff>0</xdr:rowOff>
    </xdr:from>
    <xdr:to>
      <xdr:col>12</xdr:col>
      <xdr:colOff>317500</xdr:colOff>
      <xdr:row>14</xdr:row>
      <xdr:rowOff>6927</xdr:rowOff>
    </xdr:to>
    <xdr:pic>
      <xdr:nvPicPr>
        <xdr:cNvPr id="1046" name="TextBox1">
          <a:extLst>
            <a:ext uri="{FF2B5EF4-FFF2-40B4-BE49-F238E27FC236}">
              <a16:creationId xmlns:a16="http://schemas.microsoft.com/office/drawing/2014/main" id="{00000000-0008-0000-0100-000016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88400" y="3149600"/>
          <a:ext cx="96520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444500</xdr:colOff>
      <xdr:row>51</xdr:row>
      <xdr:rowOff>165100</xdr:rowOff>
    </xdr:from>
    <xdr:to>
      <xdr:col>4</xdr:col>
      <xdr:colOff>495300</xdr:colOff>
      <xdr:row>53</xdr:row>
      <xdr:rowOff>2886</xdr:rowOff>
    </xdr:to>
    <xdr:pic>
      <xdr:nvPicPr>
        <xdr:cNvPr id="1049" name="TextBox4">
          <a:extLst>
            <a:ext uri="{FF2B5EF4-FFF2-40B4-BE49-F238E27FC236}">
              <a16:creationId xmlns:a16="http://schemas.microsoft.com/office/drawing/2014/main" id="{00000000-0008-0000-0100-000019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3900" y="11899900"/>
          <a:ext cx="1574800" cy="215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431800</xdr:colOff>
      <xdr:row>25</xdr:row>
      <xdr:rowOff>114300</xdr:rowOff>
    </xdr:from>
    <xdr:to>
      <xdr:col>14</xdr:col>
      <xdr:colOff>342900</xdr:colOff>
      <xdr:row>26</xdr:row>
      <xdr:rowOff>203200</xdr:rowOff>
    </xdr:to>
    <xdr:pic>
      <xdr:nvPicPr>
        <xdr:cNvPr id="1050" name="CommandButton4">
          <a:extLst>
            <a:ext uri="{FF2B5EF4-FFF2-40B4-BE49-F238E27FC236}">
              <a16:creationId xmlns:a16="http://schemas.microsoft.com/office/drawing/2014/main" id="{00000000-0008-0000-0100-00001A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6700" y="6438900"/>
          <a:ext cx="1778000" cy="317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/>
  <dimension ref="A1:I11"/>
  <sheetViews>
    <sheetView workbookViewId="0">
      <selection activeCell="A11" sqref="A11"/>
    </sheetView>
  </sheetViews>
  <sheetFormatPr baseColWidth="10" defaultColWidth="8.83203125" defaultRowHeight="13"/>
  <cols>
    <col min="1" max="1" width="10.5" customWidth="1"/>
    <col min="2" max="2" width="8.33203125" customWidth="1"/>
    <col min="3" max="3" width="10.83203125" customWidth="1"/>
    <col min="4" max="4" width="11.1640625" customWidth="1"/>
    <col min="5" max="5" width="11.5" customWidth="1"/>
    <col min="6" max="6" width="10.33203125" customWidth="1"/>
    <col min="7" max="7" width="12.6640625" customWidth="1"/>
    <col min="8" max="8" width="13.83203125" customWidth="1"/>
    <col min="9" max="9" width="10.5" customWidth="1"/>
  </cols>
  <sheetData>
    <row r="1" spans="1:9" s="1" customForma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17</v>
      </c>
      <c r="H1" s="1" t="s">
        <v>18</v>
      </c>
      <c r="I1" s="1" t="s">
        <v>19</v>
      </c>
    </row>
    <row r="2" spans="1:9">
      <c r="A2">
        <v>2.8767175032131935</v>
      </c>
      <c r="B2">
        <v>2.8760178954413846</v>
      </c>
      <c r="C2">
        <v>2.4325570884582974E-2</v>
      </c>
      <c r="D2">
        <v>0.30296913888888888</v>
      </c>
      <c r="E2">
        <v>0.30291184140507099</v>
      </c>
      <c r="F2">
        <v>1.8915564195876013E-2</v>
      </c>
      <c r="G2">
        <v>14.75</v>
      </c>
      <c r="H2">
        <v>999.2</v>
      </c>
      <c r="I2">
        <v>379.16</v>
      </c>
    </row>
    <row r="3" spans="1:9">
      <c r="A3">
        <v>2.874258561779897</v>
      </c>
      <c r="B3">
        <v>2.8745917307933238</v>
      </c>
      <c r="C3">
        <v>-1.1590133299895736E-2</v>
      </c>
      <c r="D3">
        <v>0.30222286111111113</v>
      </c>
      <c r="E3">
        <v>0.30226101233549529</v>
      </c>
      <c r="F3">
        <v>-1.2621946869488461E-2</v>
      </c>
      <c r="G3">
        <v>14.76</v>
      </c>
      <c r="H3">
        <v>999.2</v>
      </c>
      <c r="I3">
        <v>378.54</v>
      </c>
    </row>
    <row r="4" spans="1:9">
      <c r="A4">
        <v>2.8758753292044665</v>
      </c>
      <c r="B4">
        <v>2.8745910404262545</v>
      </c>
      <c r="C4">
        <v>4.4677269223716558E-2</v>
      </c>
      <c r="D4">
        <v>0.30243888888888887</v>
      </c>
      <c r="E4">
        <v>0.30231240540385573</v>
      </c>
      <c r="F4">
        <v>4.1838668467530295E-2</v>
      </c>
      <c r="G4">
        <v>14.79</v>
      </c>
      <c r="H4">
        <v>999.2</v>
      </c>
      <c r="I4">
        <v>378.6</v>
      </c>
    </row>
    <row r="5" spans="1:9">
      <c r="A5">
        <v>2.8717960394158975</v>
      </c>
      <c r="B5">
        <v>2.873250626239082</v>
      </c>
      <c r="C5">
        <v>-5.0625128553039786E-2</v>
      </c>
      <c r="D5">
        <v>0.30349938888888889</v>
      </c>
      <c r="E5">
        <v>0.30366558437388169</v>
      </c>
      <c r="F5">
        <v>-5.4729772995341867E-2</v>
      </c>
      <c r="G5">
        <v>14.8</v>
      </c>
      <c r="H5">
        <v>999.2</v>
      </c>
      <c r="I5">
        <v>380.47</v>
      </c>
    </row>
    <row r="6" spans="1:9">
      <c r="A6">
        <v>36.96983780504619</v>
      </c>
      <c r="B6">
        <v>36.948779544245404</v>
      </c>
      <c r="C6">
        <v>5.6993116039377158E-2</v>
      </c>
      <c r="D6">
        <v>1.0183353055555555</v>
      </c>
      <c r="E6">
        <v>1.0176049101531586</v>
      </c>
      <c r="F6">
        <v>7.17759314159572E-2</v>
      </c>
      <c r="G6">
        <v>14.87</v>
      </c>
      <c r="H6">
        <v>999.19</v>
      </c>
      <c r="I6">
        <v>99.15</v>
      </c>
    </row>
    <row r="7" spans="1:9">
      <c r="A7">
        <v>36.935803222722662</v>
      </c>
      <c r="B7">
        <v>36.920861524927808</v>
      </c>
      <c r="C7">
        <v>4.0469526380810909E-2</v>
      </c>
      <c r="D7">
        <v>1.0166463611111112</v>
      </c>
      <c r="E7">
        <v>1.0162551264303656</v>
      </c>
      <c r="F7">
        <v>3.849768336419223E-2</v>
      </c>
      <c r="G7">
        <v>14.89</v>
      </c>
      <c r="H7">
        <v>999.18</v>
      </c>
      <c r="I7">
        <v>99.09</v>
      </c>
    </row>
    <row r="8" spans="1:9">
      <c r="A8">
        <v>36.983381513910189</v>
      </c>
      <c r="B8">
        <v>36.955183240114941</v>
      </c>
      <c r="C8">
        <v>7.6303975039253055E-2</v>
      </c>
      <c r="D8">
        <v>1.0335161666666666</v>
      </c>
      <c r="E8">
        <v>1.0327381787688263</v>
      </c>
      <c r="F8">
        <v>7.5332539634363191E-2</v>
      </c>
      <c r="G8">
        <v>14.9</v>
      </c>
      <c r="H8">
        <v>999.18</v>
      </c>
      <c r="I8">
        <v>100.6</v>
      </c>
    </row>
    <row r="9" spans="1:9">
      <c r="A9">
        <v>62.303488428837824</v>
      </c>
      <c r="B9">
        <v>62.239374927456588</v>
      </c>
      <c r="C9">
        <v>0.10301115886199654</v>
      </c>
      <c r="D9">
        <v>1.6041829999999999</v>
      </c>
      <c r="E9">
        <v>1.6025490965072495</v>
      </c>
      <c r="F9">
        <v>0.10195653264611208</v>
      </c>
      <c r="G9">
        <v>14.86</v>
      </c>
      <c r="H9">
        <v>999.19</v>
      </c>
      <c r="I9">
        <v>92.69</v>
      </c>
    </row>
    <row r="10" spans="1:9">
      <c r="A10">
        <v>62.235406061205317</v>
      </c>
      <c r="B10">
        <v>62.191432951809034</v>
      </c>
      <c r="C10">
        <v>7.0706055977770021E-2</v>
      </c>
      <c r="D10">
        <v>1.024443</v>
      </c>
      <c r="E10">
        <v>1.0237697800693304</v>
      </c>
      <c r="F10">
        <v>6.5758918047376699E-2</v>
      </c>
      <c r="G10">
        <v>14.89</v>
      </c>
      <c r="H10">
        <v>999.18</v>
      </c>
      <c r="I10">
        <v>59.26</v>
      </c>
    </row>
    <row r="11" spans="1:9">
      <c r="A11">
        <v>62.134416258660508</v>
      </c>
      <c r="B11">
        <v>62.122144243866344</v>
      </c>
      <c r="C11">
        <v>1.9754654227627039E-2</v>
      </c>
      <c r="D11">
        <v>1.0217524722222222</v>
      </c>
      <c r="E11">
        <v>1.0215675201300516</v>
      </c>
      <c r="F11">
        <v>1.8104734980911974E-2</v>
      </c>
      <c r="G11">
        <v>14.9</v>
      </c>
      <c r="H11">
        <v>999.18</v>
      </c>
      <c r="I11">
        <v>59.2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1"/>
  <dimension ref="A1:W2495"/>
  <sheetViews>
    <sheetView tabSelected="1" view="pageBreakPreview" topLeftCell="A10" zoomScale="88" zoomScaleSheetLayoutView="85" workbookViewId="0">
      <selection activeCell="J37" sqref="J37"/>
    </sheetView>
  </sheetViews>
  <sheetFormatPr baseColWidth="10" defaultColWidth="9.1640625" defaultRowHeight="13"/>
  <cols>
    <col min="1" max="2" width="10.1640625" style="184" customWidth="1"/>
    <col min="3" max="3" width="10.5" style="184" customWidth="1"/>
    <col min="4" max="4" width="9.5" style="184" customWidth="1"/>
    <col min="5" max="5" width="10.5" style="184" customWidth="1"/>
    <col min="6" max="6" width="9.83203125" style="184" customWidth="1"/>
    <col min="7" max="7" width="9.5" style="184" customWidth="1"/>
    <col min="8" max="8" width="9.33203125" style="184" customWidth="1"/>
    <col min="9" max="9" width="12.5" style="184" customWidth="1"/>
    <col min="10" max="10" width="13.33203125" style="184" customWidth="1"/>
    <col min="11" max="11" width="9.1640625" style="184" customWidth="1"/>
    <col min="12" max="12" width="9.33203125" style="184" customWidth="1"/>
    <col min="13" max="13" width="8.5" style="184" customWidth="1"/>
    <col min="14" max="14" width="6.6640625" style="185" customWidth="1"/>
    <col min="15" max="15" width="4.5" style="184" customWidth="1"/>
    <col min="16" max="16" width="8.5" style="184" customWidth="1"/>
    <col min="17" max="17" width="4.5" style="184" customWidth="1"/>
    <col min="18" max="16384" width="9.1640625" style="184"/>
  </cols>
  <sheetData>
    <row r="1" spans="1:23" ht="18.75" customHeight="1">
      <c r="A1" s="190" t="s">
        <v>494</v>
      </c>
      <c r="B1" s="190"/>
      <c r="C1" s="190"/>
      <c r="D1" s="190"/>
      <c r="E1" s="190"/>
      <c r="F1" s="190"/>
      <c r="G1" s="190"/>
      <c r="H1" s="190"/>
      <c r="I1" s="190"/>
      <c r="J1" s="190"/>
      <c r="K1" s="190"/>
    </row>
    <row r="2" spans="1:23" ht="16">
      <c r="A2" s="190" t="s">
        <v>425</v>
      </c>
      <c r="B2" s="190"/>
      <c r="C2" s="190"/>
      <c r="D2" s="190"/>
      <c r="E2" s="190"/>
      <c r="F2" s="190"/>
      <c r="G2" s="190"/>
      <c r="H2" s="190"/>
      <c r="I2" s="190"/>
      <c r="J2" s="190"/>
      <c r="K2" s="190"/>
      <c r="V2" s="191"/>
      <c r="W2" s="191"/>
    </row>
    <row r="3" spans="1:23" ht="16">
      <c r="A3" s="192"/>
      <c r="B3" s="192"/>
      <c r="C3" s="192"/>
      <c r="D3" s="192"/>
      <c r="E3" s="190" t="s">
        <v>426</v>
      </c>
      <c r="F3" s="190"/>
      <c r="G3" s="190"/>
      <c r="H3" s="192"/>
      <c r="I3" s="192"/>
      <c r="J3" s="192"/>
      <c r="K3" s="192"/>
      <c r="V3" s="191"/>
      <c r="W3" s="191"/>
    </row>
    <row r="4" spans="1:23" ht="18">
      <c r="A4" s="192"/>
      <c r="B4" s="192"/>
      <c r="C4" s="193"/>
      <c r="D4" s="193"/>
      <c r="E4" s="193"/>
      <c r="F4" s="193"/>
      <c r="G4" s="193"/>
      <c r="H4" s="193"/>
      <c r="I4" s="193"/>
      <c r="J4" s="192"/>
      <c r="K4" s="192"/>
      <c r="V4" s="191"/>
      <c r="W4" s="191"/>
    </row>
    <row r="5" spans="1:23" ht="16">
      <c r="A5" s="192"/>
      <c r="B5" s="192"/>
      <c r="C5" s="194"/>
      <c r="D5" s="194"/>
      <c r="E5" s="194"/>
      <c r="F5" s="194"/>
      <c r="G5" s="194"/>
      <c r="H5" s="194"/>
      <c r="I5" s="194"/>
      <c r="J5" s="192"/>
      <c r="K5" s="192"/>
      <c r="V5" s="191"/>
      <c r="W5" s="191"/>
    </row>
    <row r="6" spans="1:23" ht="18">
      <c r="A6" s="193" t="s">
        <v>501</v>
      </c>
      <c r="B6" s="193"/>
      <c r="C6" s="193"/>
      <c r="D6" s="193"/>
      <c r="E6" s="193"/>
      <c r="F6" s="193"/>
      <c r="G6" s="193"/>
      <c r="H6" s="193"/>
      <c r="I6" s="193"/>
      <c r="J6" s="193"/>
      <c r="K6" s="193"/>
      <c r="V6" s="191"/>
      <c r="W6" s="191"/>
    </row>
    <row r="7" spans="1:23" ht="18.75" customHeight="1">
      <c r="A7" s="180"/>
      <c r="B7" s="180"/>
      <c r="C7" s="180"/>
      <c r="D7" s="193"/>
      <c r="E7" s="193"/>
      <c r="F7" s="193"/>
      <c r="G7" s="193"/>
      <c r="H7" s="193"/>
      <c r="I7" s="193"/>
      <c r="J7" s="180"/>
      <c r="K7" s="180"/>
      <c r="V7" s="191"/>
      <c r="W7" s="191"/>
    </row>
    <row r="8" spans="1:23" ht="16.5" customHeight="1">
      <c r="A8" s="195" t="s">
        <v>427</v>
      </c>
      <c r="B8" s="195"/>
      <c r="C8" s="195"/>
      <c r="D8" s="195"/>
      <c r="E8" s="195"/>
      <c r="F8" s="195"/>
      <c r="G8" s="196" t="s">
        <v>490</v>
      </c>
      <c r="H8" s="196"/>
      <c r="I8" s="196"/>
      <c r="J8" s="196"/>
      <c r="K8" s="195"/>
    </row>
    <row r="9" spans="1:23" ht="16.5" customHeight="1">
      <c r="A9" s="195"/>
      <c r="B9" s="195"/>
      <c r="C9" s="195"/>
      <c r="D9" s="195"/>
      <c r="E9" s="195"/>
      <c r="F9" s="195"/>
      <c r="G9" s="196"/>
      <c r="H9" s="196"/>
      <c r="I9" s="196"/>
      <c r="J9" s="196"/>
      <c r="K9" s="195"/>
    </row>
    <row r="10" spans="1:23" ht="42" customHeight="1">
      <c r="A10" s="195"/>
      <c r="B10" s="195"/>
      <c r="C10" s="195"/>
      <c r="D10" s="195"/>
      <c r="E10" s="195"/>
      <c r="F10" s="195"/>
      <c r="G10" s="196"/>
      <c r="H10" s="196"/>
      <c r="I10" s="196"/>
      <c r="J10" s="196"/>
      <c r="K10" s="195"/>
    </row>
    <row r="11" spans="1:23" ht="16.5" customHeight="1">
      <c r="A11" s="195" t="s">
        <v>428</v>
      </c>
      <c r="B11" s="195"/>
      <c r="C11" s="195"/>
      <c r="D11" s="195"/>
      <c r="E11" s="195"/>
      <c r="F11" s="195"/>
      <c r="G11" s="197" t="s">
        <v>491</v>
      </c>
      <c r="H11" s="197"/>
      <c r="I11" s="197"/>
      <c r="J11" s="197"/>
      <c r="K11" s="195"/>
    </row>
    <row r="12" spans="1:23" ht="19.5" customHeight="1">
      <c r="A12" s="195" t="s">
        <v>429</v>
      </c>
      <c r="B12" s="195"/>
      <c r="C12" s="195"/>
      <c r="D12" s="195"/>
      <c r="E12" s="195"/>
      <c r="F12" s="195"/>
      <c r="G12" s="198"/>
      <c r="H12" s="197"/>
      <c r="I12" s="197"/>
      <c r="J12" s="197"/>
      <c r="K12" s="195"/>
    </row>
    <row r="13" spans="1:23" ht="19.5" customHeight="1">
      <c r="A13" s="195" t="s">
        <v>443</v>
      </c>
      <c r="B13" s="195"/>
      <c r="C13" s="195"/>
      <c r="D13" s="195"/>
      <c r="E13" s="195"/>
      <c r="F13" s="195"/>
      <c r="G13" s="199"/>
      <c r="H13" s="197"/>
      <c r="I13" s="197"/>
      <c r="J13" s="197"/>
      <c r="K13" s="195"/>
    </row>
    <row r="14" spans="1:23" ht="21" customHeight="1">
      <c r="A14" s="200" t="s">
        <v>431</v>
      </c>
      <c r="B14" s="195"/>
      <c r="C14" s="195"/>
      <c r="D14" s="195"/>
      <c r="E14" s="195"/>
      <c r="F14" s="195"/>
      <c r="G14" s="201"/>
      <c r="H14" s="201"/>
      <c r="I14" s="201"/>
      <c r="J14" s="201"/>
      <c r="K14" s="195"/>
    </row>
    <row r="15" spans="1:23" ht="19.5" customHeight="1">
      <c r="A15" s="195" t="s">
        <v>432</v>
      </c>
      <c r="B15" s="195"/>
      <c r="C15" s="195"/>
      <c r="D15" s="195"/>
      <c r="E15" s="195"/>
      <c r="F15" s="195"/>
      <c r="G15" s="202"/>
      <c r="H15" s="203"/>
      <c r="I15" s="203"/>
      <c r="J15" s="203"/>
      <c r="K15" s="195"/>
    </row>
    <row r="16" spans="1:23" ht="21" customHeight="1">
      <c r="A16" s="204" t="s">
        <v>433</v>
      </c>
      <c r="B16" s="195"/>
      <c r="C16" s="195"/>
      <c r="D16" s="195"/>
      <c r="E16" s="195"/>
      <c r="F16" s="195"/>
      <c r="G16" s="205"/>
      <c r="H16" s="205"/>
      <c r="I16" s="205"/>
      <c r="J16" s="205"/>
      <c r="K16" s="205"/>
    </row>
    <row r="17" spans="1:17" ht="19.5" customHeight="1">
      <c r="A17" s="195" t="s">
        <v>434</v>
      </c>
      <c r="B17" s="195"/>
      <c r="C17" s="195"/>
      <c r="D17" s="195"/>
      <c r="E17" s="195"/>
      <c r="F17" s="195"/>
      <c r="G17" s="203" t="s">
        <v>71</v>
      </c>
      <c r="H17" s="203"/>
      <c r="I17" s="203"/>
      <c r="J17" s="203"/>
      <c r="K17" s="195"/>
    </row>
    <row r="18" spans="1:17" ht="19.5" customHeight="1">
      <c r="A18" s="195" t="s">
        <v>435</v>
      </c>
      <c r="B18" s="195"/>
      <c r="C18" s="195"/>
      <c r="D18" s="195"/>
      <c r="E18" s="195"/>
      <c r="F18" s="195"/>
      <c r="G18" s="206"/>
      <c r="H18" s="206"/>
      <c r="I18" s="203"/>
      <c r="J18" s="203"/>
      <c r="K18" s="195"/>
    </row>
    <row r="19" spans="1:17" ht="19.5" customHeight="1">
      <c r="A19" s="195" t="s">
        <v>436</v>
      </c>
      <c r="B19" s="195"/>
      <c r="C19" s="195"/>
      <c r="D19" s="195"/>
      <c r="E19" s="195"/>
      <c r="F19" s="195"/>
      <c r="G19" s="207"/>
      <c r="H19" s="203"/>
      <c r="I19" s="203"/>
      <c r="J19" s="203"/>
      <c r="K19" s="195"/>
    </row>
    <row r="20" spans="1:17" ht="19.5" customHeight="1">
      <c r="A20" s="195" t="s">
        <v>493</v>
      </c>
      <c r="B20" s="195"/>
      <c r="C20" s="195"/>
      <c r="D20" s="195"/>
      <c r="E20" s="195"/>
      <c r="F20" s="195"/>
      <c r="G20" s="208" t="s">
        <v>492</v>
      </c>
      <c r="H20" s="208"/>
      <c r="I20" s="208"/>
      <c r="J20" s="208"/>
      <c r="K20" s="208"/>
    </row>
    <row r="21" spans="1:17" ht="19.5" customHeight="1">
      <c r="A21" s="195"/>
      <c r="B21" s="195"/>
      <c r="C21" s="195"/>
      <c r="D21" s="195"/>
      <c r="E21" s="195"/>
      <c r="F21" s="195"/>
      <c r="G21" s="208"/>
      <c r="H21" s="208"/>
      <c r="I21" s="208"/>
      <c r="J21" s="208"/>
      <c r="K21" s="208"/>
    </row>
    <row r="22" spans="1:17" ht="19.5" customHeight="1">
      <c r="A22" s="195"/>
      <c r="B22" s="195"/>
      <c r="C22" s="195"/>
      <c r="D22" s="195"/>
      <c r="E22" s="195"/>
      <c r="F22" s="195"/>
      <c r="G22" s="208"/>
      <c r="H22" s="208"/>
      <c r="I22" s="208"/>
      <c r="J22" s="208"/>
      <c r="K22" s="208"/>
    </row>
    <row r="23" spans="1:17" ht="39" customHeight="1">
      <c r="A23" s="195"/>
      <c r="B23" s="195"/>
      <c r="C23" s="195"/>
      <c r="D23" s="195"/>
      <c r="E23" s="195"/>
      <c r="F23" s="195"/>
      <c r="G23" s="208"/>
      <c r="H23" s="208"/>
      <c r="I23" s="208"/>
      <c r="J23" s="208"/>
      <c r="K23" s="208"/>
    </row>
    <row r="24" spans="1:17" ht="18">
      <c r="A24" s="195" t="s">
        <v>437</v>
      </c>
      <c r="B24" s="195"/>
      <c r="C24" s="195"/>
      <c r="D24" s="195"/>
      <c r="E24" s="195"/>
      <c r="F24" s="195"/>
      <c r="G24" s="195"/>
      <c r="H24" s="45"/>
      <c r="I24" s="195"/>
      <c r="J24" s="195"/>
      <c r="K24" s="195"/>
    </row>
    <row r="25" spans="1:17" ht="18.75" customHeight="1">
      <c r="A25" s="195"/>
      <c r="B25" s="195" t="s">
        <v>67</v>
      </c>
      <c r="C25" s="195"/>
      <c r="D25" s="195"/>
      <c r="E25" s="195"/>
      <c r="F25" s="209"/>
      <c r="G25" s="45" t="s">
        <v>442</v>
      </c>
      <c r="H25" s="45"/>
      <c r="I25" s="45"/>
      <c r="J25" s="195"/>
      <c r="K25" s="195"/>
      <c r="O25" s="210"/>
    </row>
    <row r="26" spans="1:17" ht="18" customHeight="1">
      <c r="A26" s="195"/>
      <c r="B26" s="195" t="s">
        <v>68</v>
      </c>
      <c r="C26" s="195"/>
      <c r="D26" s="195"/>
      <c r="E26" s="211"/>
      <c r="F26" s="212"/>
      <c r="G26" s="213" t="s">
        <v>23</v>
      </c>
      <c r="H26" s="213"/>
      <c r="I26" s="213"/>
      <c r="J26" s="195"/>
      <c r="K26" s="195"/>
    </row>
    <row r="27" spans="1:17" ht="17.25" customHeight="1">
      <c r="A27" s="195"/>
      <c r="B27" s="195" t="s">
        <v>69</v>
      </c>
      <c r="C27" s="195"/>
      <c r="D27" s="195"/>
      <c r="E27" s="195"/>
      <c r="F27" s="209"/>
      <c r="G27" s="45" t="s">
        <v>438</v>
      </c>
      <c r="H27" s="45"/>
      <c r="I27" s="45"/>
      <c r="J27" s="195"/>
      <c r="K27" s="195"/>
    </row>
    <row r="28" spans="1:17" ht="19" thickBot="1">
      <c r="A28" s="195" t="s">
        <v>439</v>
      </c>
      <c r="B28" s="195"/>
      <c r="C28" s="195"/>
      <c r="D28" s="195"/>
      <c r="E28" s="195"/>
      <c r="F28" s="45"/>
      <c r="G28" s="45"/>
      <c r="H28" s="45"/>
      <c r="I28" s="45"/>
      <c r="J28" s="195"/>
      <c r="K28" s="195"/>
    </row>
    <row r="29" spans="1:17" ht="42" customHeight="1" thickBot="1">
      <c r="A29" s="186" t="s">
        <v>11</v>
      </c>
      <c r="B29" s="187" t="s">
        <v>496</v>
      </c>
      <c r="C29" s="187" t="s">
        <v>497</v>
      </c>
      <c r="D29" s="187" t="s">
        <v>430</v>
      </c>
      <c r="E29" s="187" t="s">
        <v>498</v>
      </c>
      <c r="F29" s="187" t="s">
        <v>499</v>
      </c>
      <c r="G29" s="187" t="s">
        <v>430</v>
      </c>
      <c r="H29" s="187" t="s">
        <v>20</v>
      </c>
      <c r="I29" s="187" t="s">
        <v>489</v>
      </c>
      <c r="J29" s="187" t="s">
        <v>21</v>
      </c>
      <c r="K29" s="188" t="s">
        <v>444</v>
      </c>
      <c r="L29" s="187" t="s">
        <v>502</v>
      </c>
      <c r="M29" s="189" t="s">
        <v>503</v>
      </c>
      <c r="N29" s="189" t="s">
        <v>504</v>
      </c>
      <c r="O29" s="183"/>
      <c r="P29" s="183"/>
      <c r="Q29" s="183"/>
    </row>
    <row r="30" spans="1:17" ht="15" customHeight="1">
      <c r="A30" s="174"/>
      <c r="B30" s="175"/>
      <c r="C30" s="175"/>
      <c r="D30" s="176"/>
      <c r="E30" s="177"/>
      <c r="F30" s="177"/>
      <c r="G30" s="176"/>
      <c r="H30" s="176"/>
      <c r="I30" s="176"/>
      <c r="J30" s="176"/>
      <c r="K30" s="178"/>
      <c r="L30" s="176"/>
      <c r="M30" s="179"/>
      <c r="N30" s="179"/>
      <c r="O30" s="183"/>
      <c r="Q30" s="183"/>
    </row>
    <row r="31" spans="1:17" ht="15" customHeight="1">
      <c r="A31" s="174"/>
      <c r="B31" s="175"/>
      <c r="C31" s="175"/>
      <c r="D31" s="176"/>
      <c r="E31" s="177"/>
      <c r="F31" s="177"/>
      <c r="G31" s="176"/>
      <c r="H31" s="176"/>
      <c r="I31" s="176"/>
      <c r="J31" s="176"/>
      <c r="K31" s="178"/>
      <c r="L31" s="176"/>
      <c r="M31" s="179"/>
      <c r="N31" s="179"/>
      <c r="O31" s="183"/>
      <c r="Q31" s="183"/>
    </row>
    <row r="32" spans="1:17" ht="15" customHeight="1">
      <c r="A32" s="174"/>
      <c r="B32" s="175"/>
      <c r="C32" s="175"/>
      <c r="D32" s="176"/>
      <c r="E32" s="177"/>
      <c r="F32" s="177"/>
      <c r="G32" s="176"/>
      <c r="H32" s="176"/>
      <c r="I32" s="176"/>
      <c r="J32" s="176"/>
      <c r="K32" s="178"/>
      <c r="L32" s="176"/>
      <c r="M32" s="179"/>
      <c r="N32" s="179"/>
      <c r="O32" s="183"/>
      <c r="Q32" s="183"/>
    </row>
    <row r="33" spans="1:17" ht="15" customHeight="1">
      <c r="A33" s="174"/>
      <c r="B33" s="175"/>
      <c r="C33" s="175"/>
      <c r="D33" s="176"/>
      <c r="E33" s="177"/>
      <c r="F33" s="177"/>
      <c r="G33" s="176"/>
      <c r="H33" s="176"/>
      <c r="I33" s="176"/>
      <c r="J33" s="176"/>
      <c r="K33" s="178"/>
      <c r="L33" s="176"/>
      <c r="M33" s="179"/>
      <c r="N33" s="179"/>
      <c r="O33" s="183"/>
      <c r="P33" s="183"/>
      <c r="Q33" s="183"/>
    </row>
    <row r="34" spans="1:17" ht="15" customHeight="1">
      <c r="A34" s="174"/>
      <c r="B34" s="175"/>
      <c r="C34" s="175"/>
      <c r="D34" s="176"/>
      <c r="E34" s="177"/>
      <c r="F34" s="177"/>
      <c r="G34" s="176"/>
      <c r="H34" s="176"/>
      <c r="I34" s="176"/>
      <c r="J34" s="176"/>
      <c r="K34" s="178"/>
      <c r="L34" s="176"/>
      <c r="M34" s="179"/>
      <c r="N34" s="179"/>
      <c r="O34" s="183"/>
      <c r="P34" s="183"/>
      <c r="Q34" s="183"/>
    </row>
    <row r="35" spans="1:17" ht="15" customHeight="1">
      <c r="A35" s="174"/>
      <c r="B35" s="175"/>
      <c r="C35" s="175"/>
      <c r="D35" s="176"/>
      <c r="E35" s="177"/>
      <c r="F35" s="177"/>
      <c r="G35" s="176"/>
      <c r="H35" s="176"/>
      <c r="I35" s="176"/>
      <c r="J35" s="176"/>
      <c r="K35" s="178"/>
      <c r="L35" s="176"/>
      <c r="M35" s="179"/>
      <c r="N35" s="179"/>
      <c r="O35" s="183"/>
      <c r="P35" s="183"/>
      <c r="Q35" s="183"/>
    </row>
    <row r="36" spans="1:17" ht="15" customHeight="1">
      <c r="A36" s="174"/>
      <c r="B36" s="175"/>
      <c r="C36" s="175"/>
      <c r="D36" s="176"/>
      <c r="E36" s="177"/>
      <c r="F36" s="177"/>
      <c r="G36" s="176"/>
      <c r="H36" s="176"/>
      <c r="I36" s="176"/>
      <c r="J36" s="176"/>
      <c r="K36" s="178"/>
      <c r="L36" s="176"/>
      <c r="M36" s="179"/>
      <c r="N36" s="179"/>
      <c r="O36" s="183"/>
      <c r="P36" s="183"/>
      <c r="Q36" s="183"/>
    </row>
    <row r="37" spans="1:17" ht="15" customHeight="1">
      <c r="A37" s="174"/>
      <c r="B37" s="175"/>
      <c r="C37" s="175"/>
      <c r="D37" s="176"/>
      <c r="E37" s="177"/>
      <c r="F37" s="177"/>
      <c r="G37" s="176"/>
      <c r="H37" s="176"/>
      <c r="I37" s="176"/>
      <c r="J37" s="176"/>
      <c r="K37" s="178"/>
      <c r="L37" s="176"/>
      <c r="M37" s="179"/>
      <c r="N37" s="179"/>
      <c r="O37" s="183"/>
      <c r="P37" s="183"/>
      <c r="Q37" s="183"/>
    </row>
    <row r="38" spans="1:17" ht="15" customHeight="1">
      <c r="A38" s="174"/>
      <c r="B38" s="175"/>
      <c r="C38" s="175"/>
      <c r="D38" s="176"/>
      <c r="E38" s="177"/>
      <c r="F38" s="177"/>
      <c r="G38" s="176"/>
      <c r="H38" s="176"/>
      <c r="I38" s="176"/>
      <c r="J38" s="176"/>
      <c r="K38" s="178"/>
      <c r="L38" s="176"/>
      <c r="M38" s="179"/>
      <c r="N38" s="179"/>
      <c r="O38" s="183"/>
      <c r="P38" s="183"/>
      <c r="Q38" s="183"/>
    </row>
    <row r="39" spans="1:17" ht="15" customHeight="1">
      <c r="A39" s="180"/>
      <c r="B39" s="181"/>
      <c r="C39" s="181"/>
      <c r="D39" s="179"/>
      <c r="E39" s="182"/>
      <c r="F39" s="182"/>
      <c r="G39" s="179"/>
      <c r="H39" s="179"/>
      <c r="I39" s="179"/>
      <c r="J39" s="179"/>
      <c r="K39" s="176"/>
      <c r="L39" s="183"/>
      <c r="M39" s="183"/>
      <c r="N39" s="183"/>
      <c r="O39" s="183"/>
      <c r="P39" s="183"/>
      <c r="Q39" s="183"/>
    </row>
    <row r="40" spans="1:17" ht="15" customHeight="1">
      <c r="A40" s="180"/>
      <c r="B40" s="181"/>
      <c r="C40" s="179"/>
      <c r="D40" s="179"/>
      <c r="E40" s="182"/>
      <c r="F40" s="182"/>
      <c r="G40" s="179"/>
      <c r="H40" s="179"/>
      <c r="I40" s="179"/>
      <c r="J40" s="179"/>
      <c r="K40" s="176"/>
    </row>
    <row r="41" spans="1:17" ht="15" customHeight="1">
      <c r="A41" s="180"/>
      <c r="B41" s="181"/>
      <c r="C41" s="179"/>
      <c r="D41" s="179"/>
      <c r="E41" s="182"/>
      <c r="F41" s="182"/>
      <c r="G41" s="179"/>
      <c r="H41" s="179"/>
      <c r="I41" s="179"/>
      <c r="J41" s="179"/>
      <c r="K41" s="176"/>
    </row>
    <row r="42" spans="1:17" ht="15" customHeight="1">
      <c r="A42" s="180"/>
      <c r="B42" s="181"/>
      <c r="C42" s="179"/>
      <c r="D42" s="179"/>
      <c r="E42" s="182"/>
      <c r="F42" s="182"/>
      <c r="G42" s="179"/>
      <c r="H42" s="179" t="s">
        <v>476</v>
      </c>
      <c r="I42" s="179"/>
      <c r="J42" s="179"/>
      <c r="K42" s="176"/>
    </row>
    <row r="43" spans="1:17" ht="15" customHeight="1">
      <c r="A43" s="180"/>
      <c r="B43" s="181"/>
      <c r="C43" s="179"/>
      <c r="D43" s="179"/>
      <c r="E43" s="182"/>
      <c r="F43" s="182"/>
      <c r="G43" s="179"/>
      <c r="H43" s="179"/>
      <c r="I43" s="179"/>
      <c r="J43" s="179"/>
      <c r="K43" s="176"/>
      <c r="N43" s="184"/>
    </row>
    <row r="44" spans="1:17" ht="15" customHeight="1">
      <c r="A44" s="180"/>
      <c r="B44" s="181"/>
      <c r="C44" s="179"/>
      <c r="D44" s="179"/>
      <c r="E44" s="182"/>
      <c r="F44" s="182"/>
      <c r="G44" s="179"/>
      <c r="H44" s="179"/>
      <c r="I44" s="179"/>
      <c r="J44" s="179"/>
      <c r="K44" s="176"/>
      <c r="N44" s="184"/>
    </row>
    <row r="45" spans="1:17" ht="15" customHeight="1">
      <c r="A45" s="180"/>
      <c r="B45" s="181"/>
      <c r="C45" s="179"/>
      <c r="D45" s="179"/>
      <c r="E45" s="182"/>
      <c r="F45" s="182"/>
      <c r="G45" s="179"/>
      <c r="H45" s="179"/>
      <c r="I45" s="179"/>
      <c r="J45" s="179"/>
      <c r="K45" s="176"/>
      <c r="N45" s="184"/>
    </row>
    <row r="46" spans="1:17" ht="15" customHeight="1">
      <c r="A46" s="180"/>
      <c r="B46" s="181"/>
      <c r="C46" s="179"/>
      <c r="D46" s="179"/>
      <c r="E46" s="182"/>
      <c r="F46" s="182"/>
      <c r="G46" s="179"/>
      <c r="H46" s="179"/>
      <c r="I46" s="179"/>
      <c r="J46" s="179"/>
      <c r="K46" s="176"/>
      <c r="N46" s="184"/>
    </row>
    <row r="47" spans="1:17" ht="15" customHeight="1">
      <c r="A47" s="195"/>
      <c r="B47" s="195"/>
      <c r="C47" s="195"/>
      <c r="D47" s="195"/>
      <c r="E47" s="195"/>
      <c r="F47" s="195"/>
      <c r="G47" s="195"/>
      <c r="H47" s="195"/>
      <c r="I47" s="195"/>
      <c r="J47" s="195"/>
      <c r="K47" s="195"/>
      <c r="N47" s="184"/>
    </row>
    <row r="48" spans="1:17" ht="15" customHeight="1">
      <c r="A48" s="195"/>
      <c r="B48" s="195"/>
      <c r="C48" s="195"/>
      <c r="D48" s="195"/>
      <c r="E48" s="195"/>
      <c r="F48" s="195"/>
      <c r="G48" s="195"/>
      <c r="H48" s="195"/>
      <c r="I48" s="195"/>
      <c r="J48" s="195"/>
      <c r="K48" s="195"/>
      <c r="N48" s="184"/>
    </row>
    <row r="49" spans="1:14" ht="15" customHeight="1">
      <c r="A49" s="195"/>
      <c r="B49" s="195"/>
      <c r="C49" s="195"/>
      <c r="D49" s="195"/>
      <c r="E49" s="195"/>
      <c r="F49" s="195"/>
      <c r="G49" s="195"/>
      <c r="H49" s="195"/>
      <c r="I49" s="195"/>
      <c r="J49" s="195"/>
      <c r="K49" s="195"/>
      <c r="N49" s="184"/>
    </row>
    <row r="50" spans="1:14" ht="15" customHeight="1">
      <c r="A50" s="195"/>
      <c r="B50" s="195"/>
      <c r="C50" s="195"/>
      <c r="D50" s="195"/>
      <c r="E50" s="195"/>
      <c r="F50" s="195"/>
      <c r="G50" s="195"/>
      <c r="H50" s="195"/>
      <c r="I50" s="195"/>
      <c r="J50" s="195"/>
      <c r="K50" s="195"/>
      <c r="N50" s="184"/>
    </row>
    <row r="51" spans="1:14" ht="15" customHeight="1">
      <c r="A51" s="195"/>
      <c r="B51" s="195"/>
      <c r="C51" s="195"/>
      <c r="D51" s="195"/>
      <c r="E51" s="195"/>
      <c r="F51" s="195"/>
      <c r="G51" s="195"/>
      <c r="H51" s="195"/>
      <c r="I51" s="195"/>
      <c r="J51" s="195"/>
      <c r="K51" s="195"/>
      <c r="N51" s="184"/>
    </row>
    <row r="52" spans="1:14" ht="15" customHeight="1">
      <c r="A52" s="195"/>
      <c r="B52" s="195"/>
      <c r="C52" s="195"/>
      <c r="D52" s="195"/>
      <c r="E52" s="195"/>
      <c r="F52" s="195"/>
      <c r="G52" s="195"/>
      <c r="H52" s="195"/>
      <c r="I52" s="195"/>
      <c r="J52" s="195"/>
      <c r="K52" s="195"/>
      <c r="N52" s="184"/>
    </row>
    <row r="53" spans="1:14" ht="15" customHeight="1">
      <c r="A53" s="214"/>
      <c r="B53" s="195"/>
      <c r="C53" s="195"/>
      <c r="D53" s="195"/>
      <c r="E53" s="195"/>
      <c r="F53" s="195"/>
      <c r="G53" s="195"/>
      <c r="H53" s="195"/>
      <c r="I53" s="195"/>
      <c r="J53" s="195" t="s">
        <v>495</v>
      </c>
      <c r="K53" s="195"/>
      <c r="N53" s="184"/>
    </row>
    <row r="54" spans="1:14" ht="15" customHeight="1">
      <c r="A54" s="195" t="s">
        <v>440</v>
      </c>
      <c r="B54" s="195"/>
      <c r="C54" s="195"/>
      <c r="D54" s="195"/>
      <c r="E54" s="195"/>
      <c r="F54" s="195"/>
      <c r="G54" s="195"/>
      <c r="H54" s="180"/>
      <c r="I54" s="195"/>
      <c r="J54" s="195"/>
      <c r="K54" s="195"/>
      <c r="N54" s="184"/>
    </row>
    <row r="55" spans="1:14" ht="15" customHeight="1">
      <c r="A55" s="215" t="s">
        <v>441</v>
      </c>
      <c r="B55" s="215"/>
      <c r="C55" s="216"/>
      <c r="D55" s="215"/>
      <c r="E55" s="215"/>
      <c r="F55" s="217"/>
      <c r="G55" s="217"/>
      <c r="H55" s="217"/>
      <c r="I55" s="217"/>
      <c r="J55" s="180"/>
      <c r="K55" s="180"/>
      <c r="N55" s="184"/>
    </row>
    <row r="56" spans="1:14" ht="15" customHeight="1">
      <c r="N56" s="184"/>
    </row>
    <row r="57" spans="1:14" ht="15" customHeight="1">
      <c r="N57" s="184"/>
    </row>
    <row r="58" spans="1:14" ht="15" customHeight="1">
      <c r="N58" s="184"/>
    </row>
    <row r="59" spans="1:14" ht="15" customHeight="1">
      <c r="N59" s="184"/>
    </row>
    <row r="60" spans="1:14" ht="15" customHeight="1">
      <c r="N60" s="184"/>
    </row>
    <row r="61" spans="1:14" ht="15" customHeight="1">
      <c r="N61" s="184"/>
    </row>
    <row r="62" spans="1:14" ht="15" customHeight="1">
      <c r="N62" s="184"/>
    </row>
    <row r="63" spans="1:14" ht="15" customHeight="1">
      <c r="N63" s="184"/>
    </row>
    <row r="64" spans="1:14" ht="15" customHeight="1">
      <c r="N64" s="184"/>
    </row>
    <row r="65" spans="2:14" ht="15" customHeight="1">
      <c r="N65" s="184"/>
    </row>
    <row r="66" spans="2:14" ht="15" customHeight="1">
      <c r="B66" s="181"/>
      <c r="C66" s="179"/>
      <c r="D66" s="179"/>
      <c r="E66" s="182"/>
      <c r="F66" s="182"/>
      <c r="G66" s="179"/>
      <c r="H66" s="179"/>
      <c r="I66" s="179"/>
      <c r="J66" s="179"/>
      <c r="N66" s="184"/>
    </row>
    <row r="67" spans="2:14" ht="15" customHeight="1">
      <c r="N67" s="184"/>
    </row>
    <row r="68" spans="2:14" ht="15" customHeight="1">
      <c r="N68" s="184"/>
    </row>
    <row r="69" spans="2:14" ht="15" customHeight="1">
      <c r="N69" s="184"/>
    </row>
    <row r="70" spans="2:14" ht="15" customHeight="1">
      <c r="N70" s="184"/>
    </row>
    <row r="71" spans="2:14" ht="15" customHeight="1">
      <c r="N71" s="184"/>
    </row>
    <row r="72" spans="2:14" ht="15" customHeight="1">
      <c r="N72" s="184"/>
    </row>
    <row r="73" spans="2:14" ht="15" customHeight="1">
      <c r="N73" s="184"/>
    </row>
    <row r="74" spans="2:14" ht="15" customHeight="1">
      <c r="N74" s="184"/>
    </row>
    <row r="75" spans="2:14" ht="15" customHeight="1">
      <c r="N75" s="184"/>
    </row>
    <row r="76" spans="2:14" ht="15" customHeight="1">
      <c r="C76" s="185"/>
      <c r="N76" s="184"/>
    </row>
    <row r="77" spans="2:14" ht="15" customHeight="1">
      <c r="C77" s="185"/>
      <c r="N77" s="184"/>
    </row>
    <row r="78" spans="2:14" ht="15" customHeight="1">
      <c r="C78" s="185"/>
      <c r="N78" s="184"/>
    </row>
    <row r="79" spans="2:14" ht="15" customHeight="1">
      <c r="C79" s="185"/>
      <c r="N79" s="184"/>
    </row>
    <row r="80" spans="2:14" ht="15" customHeight="1">
      <c r="C80" s="185"/>
      <c r="N80" s="184"/>
    </row>
    <row r="81" spans="3:14" ht="15" customHeight="1">
      <c r="C81" s="185"/>
      <c r="N81" s="184"/>
    </row>
    <row r="82" spans="3:14" ht="15" customHeight="1">
      <c r="C82" s="185"/>
      <c r="N82" s="184"/>
    </row>
    <row r="83" spans="3:14" ht="15" customHeight="1">
      <c r="C83" s="185"/>
      <c r="N83" s="184"/>
    </row>
    <row r="84" spans="3:14" ht="15" customHeight="1">
      <c r="C84" s="185"/>
      <c r="N84" s="184"/>
    </row>
    <row r="85" spans="3:14" ht="15" customHeight="1">
      <c r="C85" s="185"/>
      <c r="N85" s="184"/>
    </row>
    <row r="86" spans="3:14" ht="15" customHeight="1">
      <c r="C86" s="185"/>
      <c r="N86" s="184"/>
    </row>
    <row r="87" spans="3:14" ht="15" customHeight="1">
      <c r="C87" s="185"/>
      <c r="N87" s="184"/>
    </row>
    <row r="88" spans="3:14" ht="15" customHeight="1">
      <c r="C88" s="185"/>
      <c r="N88" s="184"/>
    </row>
    <row r="89" spans="3:14" ht="15" customHeight="1">
      <c r="C89" s="185"/>
      <c r="N89" s="184"/>
    </row>
    <row r="90" spans="3:14" ht="15" customHeight="1">
      <c r="C90" s="185"/>
      <c r="N90" s="184"/>
    </row>
    <row r="91" spans="3:14" ht="15" customHeight="1">
      <c r="C91" s="185"/>
      <c r="N91" s="184"/>
    </row>
    <row r="92" spans="3:14" ht="15" customHeight="1"/>
    <row r="93" spans="3:14" ht="15" customHeight="1"/>
    <row r="94" spans="3:14" ht="15" customHeight="1"/>
    <row r="95" spans="3:14" ht="15" customHeight="1"/>
    <row r="96" spans="3:14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  <row r="123" ht="15" customHeight="1"/>
    <row r="124" ht="15" customHeight="1"/>
    <row r="125" ht="15" customHeight="1"/>
    <row r="126" ht="15" customHeight="1"/>
    <row r="127" ht="15" customHeight="1"/>
    <row r="128" ht="15" customHeight="1"/>
    <row r="129" spans="14:14" ht="15" customHeight="1"/>
    <row r="130" spans="14:14" ht="15" customHeight="1">
      <c r="N130" s="184"/>
    </row>
    <row r="131" spans="14:14" ht="15" customHeight="1"/>
    <row r="132" spans="14:14" ht="15" customHeight="1"/>
    <row r="133" spans="14:14" ht="15" customHeight="1"/>
    <row r="134" spans="14:14" ht="15" customHeight="1"/>
    <row r="135" spans="14:14" ht="15" customHeight="1"/>
    <row r="136" spans="14:14" ht="15" customHeight="1"/>
    <row r="137" spans="14:14" ht="15" customHeight="1"/>
    <row r="138" spans="14:14" ht="15" customHeight="1"/>
    <row r="139" spans="14:14" ht="15" customHeight="1"/>
    <row r="140" spans="14:14" ht="15" customHeight="1"/>
    <row r="141" spans="14:14" ht="15" customHeight="1"/>
    <row r="142" spans="14:14" ht="15" customHeight="1"/>
    <row r="143" spans="14:14" ht="15" customHeight="1"/>
    <row r="144" spans="14:14" ht="15" customHeight="1"/>
    <row r="145" spans="14:14" ht="15" customHeight="1"/>
    <row r="146" spans="14:14" ht="15" customHeight="1"/>
    <row r="147" spans="14:14" ht="15" customHeight="1"/>
    <row r="148" spans="14:14" ht="15" customHeight="1"/>
    <row r="149" spans="14:14" ht="15" customHeight="1">
      <c r="N149" s="184"/>
    </row>
    <row r="150" spans="14:14" ht="15" customHeight="1">
      <c r="N150" s="184"/>
    </row>
    <row r="151" spans="14:14" ht="15" customHeight="1">
      <c r="N151" s="184"/>
    </row>
    <row r="152" spans="14:14" ht="15" customHeight="1">
      <c r="N152" s="184"/>
    </row>
    <row r="153" spans="14:14" ht="15" customHeight="1">
      <c r="N153" s="184"/>
    </row>
    <row r="154" spans="14:14" ht="15" customHeight="1">
      <c r="N154" s="184"/>
    </row>
    <row r="155" spans="14:14" ht="15" customHeight="1">
      <c r="N155" s="184"/>
    </row>
    <row r="156" spans="14:14" ht="15" customHeight="1">
      <c r="N156" s="184"/>
    </row>
    <row r="157" spans="14:14" ht="15" customHeight="1">
      <c r="N157" s="184"/>
    </row>
    <row r="158" spans="14:14" ht="15" customHeight="1">
      <c r="N158" s="184"/>
    </row>
    <row r="159" spans="14:14" ht="15" customHeight="1">
      <c r="N159" s="184"/>
    </row>
    <row r="160" spans="14:14" ht="15" customHeight="1">
      <c r="N160" s="184"/>
    </row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spans="12:13" ht="15" customHeight="1"/>
    <row r="690" spans="12:13" ht="15" customHeight="1"/>
    <row r="691" spans="12:13" ht="15" customHeight="1"/>
    <row r="692" spans="12:13" ht="15" customHeight="1"/>
    <row r="693" spans="12:13" ht="15" customHeight="1"/>
    <row r="694" spans="12:13" ht="15" customHeight="1"/>
    <row r="695" spans="12:13" ht="15" customHeight="1"/>
    <row r="696" spans="12:13" ht="15" customHeight="1"/>
    <row r="697" spans="12:13" ht="15" customHeight="1"/>
    <row r="698" spans="12:13" ht="15" customHeight="1"/>
    <row r="699" spans="12:13" ht="15" customHeight="1"/>
    <row r="700" spans="12:13" ht="15" customHeight="1"/>
    <row r="701" spans="12:13" ht="15" customHeight="1"/>
    <row r="702" spans="12:13" ht="15" customHeight="1"/>
    <row r="703" spans="12:13" ht="15" customHeight="1"/>
    <row r="704" spans="12:13" ht="15" customHeight="1">
      <c r="L704" s="218"/>
      <c r="M704" s="219"/>
    </row>
    <row r="705" spans="12:13" ht="15" customHeight="1">
      <c r="L705" s="218"/>
      <c r="M705" s="219"/>
    </row>
    <row r="706" spans="12:13" ht="15" customHeight="1">
      <c r="L706" s="218"/>
      <c r="M706" s="219"/>
    </row>
    <row r="707" spans="12:13" ht="15" customHeight="1">
      <c r="L707" s="218"/>
      <c r="M707" s="219"/>
    </row>
    <row r="708" spans="12:13" ht="15" customHeight="1">
      <c r="L708" s="218"/>
      <c r="M708" s="219"/>
    </row>
    <row r="709" spans="12:13" ht="15" customHeight="1">
      <c r="L709" s="218"/>
      <c r="M709" s="219"/>
    </row>
    <row r="710" spans="12:13" ht="15" customHeight="1"/>
    <row r="711" spans="12:13" ht="15" customHeight="1">
      <c r="L711" s="184" t="s">
        <v>70</v>
      </c>
      <c r="M711" s="218" t="s">
        <v>49</v>
      </c>
    </row>
    <row r="712" spans="12:13" ht="15" customHeight="1"/>
    <row r="713" spans="12:13" ht="15" customHeight="1"/>
    <row r="714" spans="12:13" ht="15" customHeight="1"/>
    <row r="715" spans="12:13" ht="15" customHeight="1"/>
    <row r="716" spans="12:13" ht="15" customHeight="1"/>
    <row r="717" spans="12:13" ht="15" customHeight="1"/>
    <row r="718" spans="12:13" ht="15" customHeight="1"/>
    <row r="719" spans="12:13" ht="15" customHeight="1"/>
    <row r="720" spans="12:13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spans="12:14" ht="15" customHeight="1">
      <c r="L817" s="220"/>
      <c r="M817" s="219"/>
    </row>
    <row r="818" spans="12:14" ht="15" customHeight="1">
      <c r="L818" s="220"/>
      <c r="M818" s="219"/>
      <c r="N818" s="184"/>
    </row>
    <row r="819" spans="12:14" ht="15" customHeight="1">
      <c r="L819" s="220"/>
      <c r="M819" s="219"/>
      <c r="N819" s="184"/>
    </row>
    <row r="820" spans="12:14" ht="15" customHeight="1">
      <c r="L820" s="219"/>
      <c r="M820" s="185"/>
      <c r="N820" s="184"/>
    </row>
    <row r="821" spans="12:14" ht="15" customHeight="1">
      <c r="L821" s="219"/>
      <c r="M821" s="185"/>
      <c r="N821" s="184"/>
    </row>
    <row r="822" spans="12:14" ht="15" customHeight="1">
      <c r="L822" s="220"/>
      <c r="M822" s="219"/>
    </row>
    <row r="823" spans="12:14" ht="15" customHeight="1">
      <c r="L823" s="220"/>
      <c r="M823" s="219"/>
    </row>
    <row r="824" spans="12:14" ht="15" customHeight="1">
      <c r="L824" s="220"/>
      <c r="M824" s="219"/>
    </row>
    <row r="825" spans="12:14" ht="15" customHeight="1">
      <c r="L825" s="220"/>
      <c r="M825" s="219"/>
    </row>
    <row r="826" spans="12:14" ht="15" customHeight="1">
      <c r="L826" s="220"/>
      <c r="M826" s="219"/>
    </row>
    <row r="827" spans="12:14" ht="15" customHeight="1">
      <c r="L827" s="220"/>
      <c r="M827" s="219"/>
    </row>
    <row r="828" spans="12:14" ht="15" customHeight="1">
      <c r="L828" s="220"/>
      <c r="M828" s="219"/>
    </row>
    <row r="829" spans="12:14" ht="15" customHeight="1">
      <c r="L829" s="220"/>
      <c r="M829" s="219"/>
    </row>
    <row r="830" spans="12:14" ht="15" customHeight="1"/>
    <row r="831" spans="12:14" ht="15" customHeight="1"/>
    <row r="832" spans="12:14" ht="15" customHeight="1"/>
    <row r="833" spans="12:17" ht="15" customHeight="1"/>
    <row r="834" spans="12:17" ht="15" customHeight="1"/>
    <row r="835" spans="12:17" ht="15" customHeight="1"/>
    <row r="836" spans="12:17" ht="15" customHeight="1"/>
    <row r="837" spans="12:17" ht="15" customHeight="1"/>
    <row r="838" spans="12:17" ht="15" customHeight="1"/>
    <row r="839" spans="12:17" ht="15" customHeight="1"/>
    <row r="840" spans="12:17" ht="15" customHeight="1"/>
    <row r="841" spans="12:17" ht="15" customHeight="1"/>
    <row r="842" spans="12:17" ht="15" customHeight="1"/>
    <row r="843" spans="12:17" ht="15" customHeight="1"/>
    <row r="844" spans="12:17" ht="15" customHeight="1">
      <c r="L844" s="221"/>
      <c r="M844" s="221"/>
      <c r="N844" s="222"/>
      <c r="O844" s="221"/>
      <c r="P844" s="221"/>
      <c r="Q844" s="221"/>
    </row>
    <row r="845" spans="12:17" ht="15" customHeight="1"/>
    <row r="846" spans="12:17" ht="15" customHeight="1"/>
    <row r="847" spans="12:17" ht="15" customHeight="1"/>
    <row r="848" spans="12:17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customHeight="1"/>
    <row r="1161" ht="15" customHeight="1"/>
    <row r="1162" ht="15" customHeight="1"/>
    <row r="1163" ht="15" customHeight="1"/>
    <row r="1164" ht="15" customHeight="1"/>
    <row r="1165" ht="15" customHeight="1"/>
    <row r="1166" ht="15" customHeight="1"/>
    <row r="1167" ht="15" customHeight="1"/>
    <row r="1168" ht="15" customHeight="1"/>
    <row r="1169" ht="15" customHeight="1"/>
    <row r="1170" ht="15" customHeight="1"/>
    <row r="1171" ht="15" customHeight="1"/>
    <row r="1172" ht="15" customHeight="1"/>
    <row r="1173" ht="15" customHeight="1"/>
    <row r="1174" ht="15" customHeight="1"/>
    <row r="1175" ht="15" customHeight="1"/>
    <row r="1176" ht="15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5" customHeight="1"/>
    <row r="1192" ht="15" customHeight="1"/>
    <row r="1193" ht="15" customHeight="1"/>
    <row r="1194" ht="15" customHeight="1"/>
    <row r="1195" ht="15" customHeight="1"/>
    <row r="1196" ht="15" customHeight="1"/>
    <row r="1197" ht="15" customHeight="1"/>
    <row r="1198" ht="15" customHeight="1"/>
    <row r="1199" ht="15" customHeight="1"/>
    <row r="1200" ht="15" customHeight="1"/>
    <row r="1201" ht="15" customHeight="1"/>
    <row r="1202" ht="15" customHeight="1"/>
    <row r="1203" ht="15" customHeight="1"/>
    <row r="1204" ht="15" customHeight="1"/>
    <row r="1205" ht="15" customHeight="1"/>
    <row r="1206" ht="15" customHeight="1"/>
    <row r="1207" ht="15" customHeight="1"/>
    <row r="1208" ht="15" customHeight="1"/>
    <row r="1209" ht="15" customHeight="1"/>
    <row r="1210" ht="15" customHeight="1"/>
    <row r="1211" ht="15" customHeight="1"/>
    <row r="1212" ht="1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5" customHeight="1"/>
    <row r="1221" ht="15" customHeight="1"/>
    <row r="1222" ht="15" customHeight="1"/>
    <row r="1223" ht="15" customHeight="1"/>
    <row r="1224" ht="15" customHeight="1"/>
    <row r="1225" ht="15" customHeight="1"/>
    <row r="1226" ht="15" customHeight="1"/>
    <row r="1227" ht="15" customHeight="1"/>
    <row r="1228" ht="15" customHeight="1"/>
    <row r="1229" ht="15" customHeight="1"/>
    <row r="1230" ht="15" customHeight="1"/>
    <row r="1231" ht="15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5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15" customHeight="1"/>
    <row r="1249" ht="15" customHeight="1"/>
    <row r="1250" ht="15" customHeight="1"/>
    <row r="1251" ht="15" customHeight="1"/>
    <row r="1252" ht="15" customHeight="1"/>
    <row r="1253" ht="15" customHeight="1"/>
    <row r="1254" ht="15" customHeight="1"/>
    <row r="1255" ht="15" customHeight="1"/>
    <row r="1256" ht="15" customHeight="1"/>
    <row r="1257" ht="1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5" customHeight="1"/>
    <row r="1272" ht="15" customHeight="1"/>
    <row r="1273" ht="15" customHeight="1"/>
    <row r="1274" ht="15" customHeight="1"/>
    <row r="1275" ht="15" customHeight="1"/>
    <row r="1276" ht="15" customHeight="1"/>
    <row r="1277" ht="15" customHeight="1"/>
    <row r="1278" ht="15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5" customHeight="1"/>
    <row r="1290" ht="15" customHeight="1"/>
    <row r="1291" ht="15" customHeight="1"/>
    <row r="1292" ht="15" customHeight="1"/>
    <row r="1293" ht="15" customHeight="1"/>
    <row r="1294" ht="15" customHeight="1"/>
    <row r="1295" ht="15" customHeight="1"/>
    <row r="1296" ht="15" customHeight="1"/>
    <row r="1297" ht="15" customHeight="1"/>
    <row r="1298" ht="15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5" customHeight="1"/>
    <row r="1314" ht="15" customHeight="1"/>
    <row r="1315" ht="15" customHeight="1"/>
    <row r="1316" ht="15" customHeight="1"/>
    <row r="1317" ht="15" customHeight="1"/>
    <row r="1318" ht="15" customHeight="1"/>
    <row r="1319" ht="15" customHeight="1"/>
    <row r="1320" ht="15" customHeight="1"/>
    <row r="1321" ht="15" customHeight="1"/>
    <row r="1322" ht="15" customHeight="1"/>
    <row r="1323" ht="15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5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5" customHeight="1"/>
    <row r="1344" ht="15" customHeight="1"/>
    <row r="1345" ht="15" customHeight="1"/>
    <row r="1346" ht="15" customHeight="1"/>
    <row r="1347" ht="15" customHeight="1"/>
    <row r="1348" ht="15" customHeight="1"/>
    <row r="1349" ht="15" customHeight="1"/>
    <row r="1350" ht="15" customHeight="1"/>
    <row r="1351" ht="15" customHeight="1"/>
    <row r="1352" ht="15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5" customHeight="1"/>
    <row r="1382" ht="15" customHeight="1"/>
    <row r="1383" ht="15" customHeight="1"/>
    <row r="1384" ht="15" customHeight="1"/>
    <row r="1385" ht="15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5" customHeight="1"/>
    <row r="1394" ht="15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5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5" customHeight="1"/>
    <row r="1415" ht="15" customHeight="1"/>
    <row r="1416" ht="15" customHeight="1"/>
    <row r="1417" ht="15" customHeight="1"/>
    <row r="1418" ht="15" customHeight="1"/>
    <row r="1419" ht="15" customHeight="1"/>
    <row r="1420" ht="15" customHeight="1"/>
    <row r="1421" ht="15" customHeight="1"/>
    <row r="1422" ht="15" customHeight="1"/>
    <row r="1423" ht="15" customHeight="1"/>
    <row r="1424" ht="15" customHeight="1"/>
    <row r="1425" ht="15" customHeight="1"/>
    <row r="1426" ht="15" customHeight="1"/>
    <row r="1427" ht="15" customHeight="1"/>
    <row r="1428" ht="15" customHeight="1"/>
    <row r="1429" ht="15" customHeight="1"/>
    <row r="1430" ht="15" customHeight="1"/>
    <row r="1431" ht="15" customHeight="1"/>
    <row r="1432" ht="15" customHeight="1"/>
    <row r="1433" ht="15" customHeight="1"/>
    <row r="1434" ht="15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5" customHeight="1"/>
    <row r="1443" ht="15" customHeight="1"/>
    <row r="1444" ht="15" customHeight="1"/>
    <row r="1445" ht="15" customHeight="1"/>
    <row r="1446" ht="15" customHeight="1"/>
    <row r="1447" ht="15" customHeight="1"/>
    <row r="1448" ht="15" customHeight="1"/>
    <row r="1449" ht="15" customHeight="1"/>
    <row r="1450" ht="15" customHeight="1"/>
    <row r="1451" ht="15" customHeight="1"/>
    <row r="1452" ht="15" customHeight="1"/>
    <row r="1453" ht="15" customHeight="1"/>
    <row r="1454" ht="15" customHeight="1"/>
    <row r="1455" ht="15" customHeight="1"/>
    <row r="1456" ht="15" customHeight="1"/>
    <row r="1457" ht="15" customHeight="1"/>
    <row r="1458" ht="15" customHeight="1"/>
    <row r="1459" ht="15" customHeight="1"/>
    <row r="1460" ht="15" customHeight="1"/>
    <row r="1461" ht="15" customHeight="1"/>
    <row r="1462" ht="15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5" customHeight="1"/>
    <row r="1471" ht="15" customHeight="1"/>
    <row r="1472" ht="15" customHeight="1"/>
    <row r="1473" ht="15" customHeight="1"/>
    <row r="1474" ht="15" customHeight="1"/>
    <row r="1475" ht="15" customHeight="1"/>
    <row r="1476" ht="15" customHeight="1"/>
    <row r="1477" ht="15" customHeight="1"/>
    <row r="1478" ht="15" customHeight="1"/>
    <row r="1479" ht="15" customHeight="1"/>
    <row r="1480" ht="15" customHeight="1"/>
    <row r="1481" ht="15" customHeight="1"/>
    <row r="1482" ht="15" customHeight="1"/>
    <row r="1483" ht="15" customHeight="1"/>
    <row r="1484" ht="15" customHeight="1"/>
    <row r="1485" ht="15" customHeight="1"/>
    <row r="1486" ht="15" customHeight="1"/>
    <row r="1487" ht="15" customHeight="1"/>
    <row r="1488" ht="15" customHeight="1"/>
    <row r="1489" ht="15" customHeight="1"/>
    <row r="1490" ht="15" customHeight="1"/>
    <row r="1491" ht="15" customHeight="1"/>
    <row r="1492" ht="15" customHeight="1"/>
    <row r="1493" ht="15" customHeight="1"/>
    <row r="1494" ht="15" customHeight="1"/>
    <row r="1495" ht="15" customHeight="1"/>
    <row r="1496" ht="15" customHeight="1"/>
    <row r="1497" ht="15" customHeight="1"/>
    <row r="1498" ht="15" customHeight="1"/>
    <row r="1499" ht="15" customHeight="1"/>
    <row r="1500" ht="15" customHeight="1"/>
    <row r="1501" ht="15" customHeight="1"/>
    <row r="1502" ht="15" customHeight="1"/>
    <row r="1503" ht="15" customHeight="1"/>
    <row r="1504" ht="15" customHeight="1"/>
    <row r="1505" ht="15" customHeight="1"/>
    <row r="1506" ht="15" customHeight="1"/>
    <row r="1507" ht="15" customHeight="1"/>
    <row r="1508" ht="15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5" customHeight="1"/>
    <row r="1517" ht="15" customHeight="1"/>
    <row r="1518" ht="15" customHeight="1"/>
    <row r="1519" ht="15" customHeight="1"/>
    <row r="1520" ht="15" customHeight="1"/>
    <row r="1521" ht="15" customHeight="1"/>
    <row r="1522" ht="15" customHeight="1"/>
    <row r="1523" ht="15" customHeight="1"/>
    <row r="1524" ht="15" customHeight="1"/>
    <row r="1525" ht="15" customHeight="1"/>
    <row r="1526" ht="15" customHeight="1"/>
    <row r="1527" ht="15" customHeight="1"/>
    <row r="1528" ht="15" customHeight="1"/>
    <row r="1529" ht="15" customHeight="1"/>
    <row r="1530" ht="15" customHeight="1"/>
    <row r="1531" ht="15" customHeight="1"/>
    <row r="1532" ht="15" customHeight="1"/>
    <row r="1533" ht="15" customHeight="1"/>
    <row r="1534" ht="15" customHeight="1"/>
    <row r="1535" ht="15" customHeight="1"/>
    <row r="1536" ht="15" customHeight="1"/>
    <row r="1537" ht="15" customHeight="1"/>
    <row r="1538" ht="15" customHeight="1"/>
    <row r="1539" ht="15" customHeight="1"/>
    <row r="1540" ht="15" customHeight="1"/>
    <row r="1541" ht="15" customHeight="1"/>
    <row r="1542" ht="15" customHeight="1"/>
    <row r="1543" ht="15" customHeight="1"/>
    <row r="1544" ht="15" customHeight="1"/>
    <row r="1545" ht="15" customHeight="1"/>
    <row r="1546" ht="15" customHeight="1"/>
    <row r="1547" ht="15" customHeight="1"/>
    <row r="1548" ht="15" customHeight="1"/>
    <row r="1549" ht="15" customHeight="1"/>
    <row r="1550" ht="15" customHeight="1"/>
    <row r="1551" ht="15" customHeight="1"/>
    <row r="1552" ht="15" customHeight="1"/>
    <row r="1553" ht="15" customHeight="1"/>
    <row r="1554" ht="15" customHeight="1"/>
    <row r="1555" ht="15" customHeight="1"/>
    <row r="1556" ht="15" customHeight="1"/>
    <row r="1557" ht="15" customHeight="1"/>
    <row r="1558" ht="15" customHeight="1"/>
    <row r="1559" ht="15" customHeight="1"/>
    <row r="1560" ht="15" customHeight="1"/>
    <row r="1561" ht="15" customHeight="1"/>
    <row r="1562" ht="15" customHeight="1"/>
    <row r="1563" ht="15" customHeight="1"/>
    <row r="1564" ht="15" customHeight="1"/>
    <row r="1565" ht="15" customHeight="1"/>
    <row r="1566" ht="15" customHeight="1"/>
    <row r="1567" ht="15" customHeight="1"/>
    <row r="1568" ht="15" customHeight="1"/>
    <row r="1569" ht="15" customHeight="1"/>
    <row r="1570" ht="15" customHeight="1"/>
    <row r="1571" ht="15" customHeight="1"/>
    <row r="1572" ht="15" customHeight="1"/>
    <row r="1573" ht="15" customHeight="1"/>
    <row r="1574" ht="15" customHeight="1"/>
    <row r="1575" ht="15" customHeight="1"/>
    <row r="1576" ht="15" customHeight="1"/>
    <row r="1577" ht="15" customHeight="1"/>
    <row r="1578" ht="15" customHeight="1"/>
    <row r="1579" ht="15" customHeight="1"/>
    <row r="1580" ht="15" customHeight="1"/>
    <row r="1581" ht="15" customHeight="1"/>
    <row r="1582" ht="15" customHeight="1"/>
    <row r="1583" ht="15" customHeight="1"/>
    <row r="1584" ht="15" customHeight="1"/>
    <row r="1585" ht="15" customHeight="1"/>
    <row r="1586" ht="15" customHeight="1"/>
    <row r="1587" ht="15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5" customHeight="1"/>
    <row r="1596" ht="15" customHeight="1"/>
    <row r="1597" ht="15" customHeight="1"/>
    <row r="1598" ht="15" customHeight="1"/>
    <row r="1599" ht="15" customHeight="1"/>
    <row r="1600" ht="15" customHeight="1"/>
    <row r="1601" ht="15" customHeight="1"/>
    <row r="1602" ht="15" customHeight="1"/>
    <row r="1603" ht="15" customHeight="1"/>
    <row r="1604" ht="15" customHeight="1"/>
    <row r="1605" ht="15" customHeight="1"/>
    <row r="1606" ht="15" customHeight="1"/>
    <row r="1607" ht="15" customHeight="1"/>
    <row r="1608" ht="15" customHeight="1"/>
    <row r="1609" ht="15" customHeight="1"/>
    <row r="1610" ht="15" customHeight="1"/>
    <row r="1611" ht="15" customHeight="1"/>
    <row r="1612" ht="15" customHeight="1"/>
    <row r="1613" ht="15" customHeight="1"/>
    <row r="1614" ht="15" customHeight="1"/>
    <row r="1615" ht="15" customHeight="1"/>
    <row r="1616" ht="15" customHeight="1"/>
    <row r="1617" ht="15" customHeight="1"/>
    <row r="1618" ht="15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15" customHeight="1"/>
    <row r="1626" ht="15" customHeight="1"/>
    <row r="1627" ht="15" customHeight="1"/>
    <row r="1628" ht="15" customHeight="1"/>
    <row r="1629" ht="15" customHeight="1"/>
    <row r="1630" ht="15" customHeight="1"/>
    <row r="1631" ht="15" customHeight="1"/>
    <row r="1632" ht="15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5" customHeight="1"/>
    <row r="1641" ht="15" customHeight="1"/>
    <row r="1642" ht="15" customHeight="1"/>
    <row r="1643" ht="15" customHeight="1"/>
    <row r="1644" ht="15" customHeight="1"/>
    <row r="1645" ht="15" customHeight="1"/>
    <row r="1646" ht="15" customHeight="1"/>
    <row r="1647" ht="15" customHeight="1"/>
    <row r="1648" ht="15" customHeight="1"/>
    <row r="1649" ht="15" customHeight="1"/>
    <row r="1650" ht="15" customHeight="1"/>
    <row r="1651" ht="15" customHeight="1"/>
    <row r="1652" ht="15" customHeight="1"/>
    <row r="1653" ht="15" customHeight="1"/>
    <row r="1654" ht="15" customHeight="1"/>
    <row r="1655" ht="15" customHeight="1"/>
    <row r="1656" ht="15" customHeight="1"/>
    <row r="1657" ht="15" customHeight="1"/>
    <row r="1658" ht="15" customHeight="1"/>
    <row r="1659" ht="15" customHeight="1"/>
    <row r="1660" ht="15" customHeight="1"/>
    <row r="1661" ht="15" customHeight="1"/>
    <row r="1662" ht="15" customHeight="1"/>
    <row r="1663" ht="15" customHeight="1"/>
    <row r="1664" ht="15" customHeight="1"/>
    <row r="1665" ht="15" customHeight="1"/>
    <row r="1666" ht="15" customHeight="1"/>
    <row r="1667" ht="15" customHeight="1"/>
    <row r="1668" ht="15" customHeight="1"/>
    <row r="1669" ht="15" customHeight="1"/>
    <row r="1670" ht="15" customHeight="1"/>
    <row r="1671" ht="15" customHeight="1"/>
    <row r="1672" ht="15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5" customHeight="1"/>
    <row r="1681" ht="15" customHeight="1"/>
    <row r="1682" ht="15" customHeight="1"/>
    <row r="1683" ht="15" customHeight="1"/>
    <row r="1684" ht="15" customHeight="1"/>
    <row r="1685" ht="15" customHeight="1"/>
    <row r="1686" ht="15" customHeight="1"/>
    <row r="1687" ht="15" customHeight="1"/>
    <row r="1688" ht="15" customHeight="1"/>
    <row r="1689" ht="15" customHeight="1"/>
    <row r="1690" ht="15" customHeight="1"/>
    <row r="1691" ht="15" customHeight="1"/>
    <row r="1692" ht="15" customHeight="1"/>
    <row r="1693" ht="15" customHeight="1"/>
    <row r="1694" ht="15" customHeight="1"/>
    <row r="1695" ht="15" customHeight="1"/>
    <row r="1696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  <row r="2104" ht="15" customHeight="1"/>
    <row r="2105" ht="15.75" customHeight="1"/>
    <row r="2106" ht="15" customHeight="1"/>
    <row r="2107" ht="15" customHeight="1"/>
    <row r="2108" ht="15" customHeight="1"/>
    <row r="2109" ht="15" customHeight="1"/>
    <row r="2110" ht="15" customHeight="1"/>
    <row r="2111" ht="15" customHeight="1"/>
    <row r="2112" ht="15" customHeight="1"/>
    <row r="2113" ht="15" customHeight="1"/>
    <row r="2114" ht="15" customHeight="1"/>
    <row r="2115" ht="15" customHeight="1"/>
    <row r="2116" ht="15" customHeight="1"/>
    <row r="2117" ht="15" customHeight="1"/>
    <row r="2118" ht="15" customHeight="1"/>
    <row r="2119" ht="15" customHeight="1"/>
    <row r="2120" ht="15" customHeight="1"/>
    <row r="2121" ht="15" customHeight="1"/>
    <row r="2122" ht="15" customHeight="1"/>
    <row r="2123" ht="15" customHeight="1"/>
    <row r="2124" ht="15" customHeight="1"/>
    <row r="2125" ht="15" customHeight="1"/>
    <row r="2126" ht="15" customHeight="1"/>
    <row r="2127" ht="15" customHeight="1"/>
    <row r="2128" ht="15" customHeight="1"/>
    <row r="2129" ht="15" customHeight="1"/>
    <row r="2130" ht="15" customHeight="1"/>
    <row r="2131" ht="15" customHeight="1"/>
    <row r="2132" ht="15" customHeight="1"/>
    <row r="2133" ht="15" customHeight="1"/>
    <row r="2134" ht="15" customHeight="1"/>
    <row r="2135" ht="15" customHeight="1"/>
    <row r="2136" ht="15" customHeight="1"/>
    <row r="2137" ht="15" customHeight="1"/>
    <row r="2138" ht="15" customHeight="1"/>
    <row r="2139" ht="15" customHeight="1"/>
    <row r="2140" ht="15" customHeight="1"/>
    <row r="2141" ht="15" customHeight="1"/>
    <row r="2142" ht="15" customHeight="1"/>
    <row r="2143" ht="15" customHeight="1"/>
    <row r="2144" ht="15" customHeight="1"/>
    <row r="2145" ht="15" customHeight="1"/>
    <row r="2146" ht="15" customHeight="1"/>
    <row r="2147" ht="15" customHeight="1"/>
    <row r="2148" ht="15" customHeight="1"/>
    <row r="2149" ht="15" customHeight="1"/>
    <row r="2150" ht="15" customHeight="1"/>
    <row r="2151" ht="15" customHeight="1"/>
    <row r="2152" ht="15" customHeight="1"/>
    <row r="2153" ht="15" customHeight="1"/>
    <row r="2154" ht="15" customHeight="1"/>
    <row r="2155" ht="15" customHeight="1"/>
    <row r="2156" ht="15" customHeight="1"/>
    <row r="2157" ht="15" customHeight="1"/>
    <row r="2158" ht="15" customHeight="1"/>
    <row r="2159" ht="15" customHeight="1"/>
    <row r="2160" ht="15" customHeight="1"/>
    <row r="2161" ht="15" customHeight="1"/>
    <row r="2162" ht="15" customHeight="1"/>
    <row r="2163" ht="15" customHeight="1"/>
    <row r="2164" ht="15" customHeight="1"/>
    <row r="2165" ht="15" customHeight="1"/>
    <row r="2166" ht="15" customHeight="1"/>
    <row r="2167" ht="15" customHeight="1"/>
    <row r="2168" ht="15" customHeight="1"/>
    <row r="2169" ht="15" customHeight="1"/>
    <row r="2170" ht="15" customHeight="1"/>
    <row r="2171" ht="15" customHeight="1"/>
    <row r="2172" ht="15" customHeight="1"/>
    <row r="2173" ht="15" customHeight="1"/>
    <row r="2174" ht="15" customHeight="1"/>
    <row r="2175" ht="15" customHeight="1"/>
    <row r="2176" ht="15" customHeight="1"/>
    <row r="2177" ht="15" customHeight="1"/>
    <row r="2178" ht="15" customHeight="1"/>
    <row r="2179" ht="15" customHeight="1"/>
    <row r="2180" ht="15" customHeight="1"/>
    <row r="2181" ht="15" customHeight="1"/>
    <row r="2182" ht="15" customHeight="1"/>
    <row r="2183" ht="15" customHeight="1"/>
    <row r="2184" ht="15" customHeight="1"/>
    <row r="2185" ht="15" customHeight="1"/>
    <row r="2186" ht="15" customHeight="1"/>
    <row r="2187" ht="15" customHeight="1"/>
    <row r="2188" ht="15" customHeight="1"/>
    <row r="2189" ht="15" customHeight="1"/>
    <row r="2190" ht="15" customHeight="1"/>
    <row r="2191" ht="15" customHeight="1"/>
    <row r="2192" ht="15" customHeight="1"/>
    <row r="2193" ht="15" customHeight="1"/>
    <row r="2194" ht="15" customHeight="1"/>
    <row r="2195" ht="15" customHeight="1"/>
    <row r="2196" ht="15" customHeight="1"/>
    <row r="2197" ht="15" customHeight="1"/>
    <row r="2198" ht="15" customHeight="1"/>
    <row r="2199" ht="15" customHeight="1"/>
    <row r="2200" ht="15" customHeight="1"/>
    <row r="2201" ht="15" customHeight="1"/>
    <row r="2202" ht="15" customHeight="1"/>
    <row r="2203" ht="15" customHeight="1"/>
    <row r="2204" ht="15" customHeight="1"/>
    <row r="2205" ht="15" customHeight="1"/>
    <row r="2206" ht="15" customHeight="1"/>
    <row r="2207" ht="15" customHeight="1"/>
    <row r="2208" ht="15" customHeight="1"/>
    <row r="2209" ht="15" customHeight="1"/>
    <row r="2210" ht="15" customHeight="1"/>
    <row r="2211" ht="15" customHeight="1"/>
    <row r="2212" ht="15" customHeight="1"/>
    <row r="2213" ht="15" customHeight="1"/>
    <row r="2214" ht="15" customHeight="1"/>
    <row r="2215" ht="15" customHeight="1"/>
    <row r="2216" ht="15" customHeight="1"/>
    <row r="2217" ht="15" customHeight="1"/>
    <row r="2218" ht="15" customHeight="1"/>
    <row r="2219" ht="15" customHeight="1"/>
    <row r="2220" ht="15" customHeight="1"/>
    <row r="2221" ht="15" customHeight="1"/>
    <row r="2222" ht="15" customHeight="1"/>
    <row r="2223" ht="15" customHeight="1"/>
    <row r="2224" ht="15" customHeight="1"/>
    <row r="2225" ht="15" customHeight="1"/>
    <row r="2226" ht="15" customHeight="1"/>
    <row r="2227" ht="15" customHeight="1"/>
    <row r="2228" ht="15" customHeight="1"/>
    <row r="2229" ht="15" customHeight="1"/>
    <row r="2230" ht="15" customHeight="1"/>
    <row r="2231" ht="15" customHeight="1"/>
    <row r="2232" ht="15" customHeight="1"/>
    <row r="2233" ht="15" customHeight="1"/>
    <row r="2234" ht="15" customHeight="1"/>
    <row r="2235" ht="15" customHeight="1"/>
    <row r="2236" ht="15" customHeight="1"/>
    <row r="2237" ht="15" customHeight="1"/>
    <row r="2238" ht="15" customHeight="1"/>
    <row r="2239" ht="15" customHeight="1"/>
    <row r="2240" ht="15" customHeight="1"/>
    <row r="2241" ht="15" customHeight="1"/>
    <row r="2242" ht="15" customHeight="1"/>
    <row r="2243" ht="15" customHeight="1"/>
    <row r="2244" ht="15" customHeight="1"/>
    <row r="2245" ht="15" customHeight="1"/>
    <row r="2246" ht="15" customHeight="1"/>
    <row r="2247" ht="15" customHeight="1"/>
    <row r="2248" ht="15" customHeight="1"/>
    <row r="2249" ht="15" customHeight="1"/>
    <row r="2250" ht="15" customHeight="1"/>
    <row r="2251" ht="15" customHeight="1"/>
    <row r="2252" ht="15" customHeight="1"/>
    <row r="2253" ht="15" customHeight="1"/>
    <row r="2254" ht="15" customHeight="1"/>
    <row r="2255" ht="15" customHeight="1"/>
    <row r="2256" ht="15" customHeight="1"/>
    <row r="2257" ht="15" customHeight="1"/>
    <row r="2258" ht="15" customHeight="1"/>
    <row r="2259" ht="15" customHeight="1"/>
    <row r="2260" ht="15" customHeight="1"/>
    <row r="2261" ht="15" customHeight="1"/>
    <row r="2262" ht="15" customHeight="1"/>
    <row r="2263" ht="15" customHeight="1"/>
    <row r="2264" ht="15" customHeight="1"/>
    <row r="2265" ht="15" customHeight="1"/>
    <row r="2266" ht="15" customHeight="1"/>
    <row r="2267" ht="15" customHeight="1"/>
    <row r="2268" ht="15" customHeight="1"/>
    <row r="2269" ht="15" customHeight="1"/>
    <row r="2270" ht="15" customHeight="1"/>
    <row r="2271" ht="15" customHeight="1"/>
    <row r="2272" ht="15" customHeight="1"/>
    <row r="2273" ht="15" customHeight="1"/>
    <row r="2274" ht="15" customHeight="1"/>
    <row r="2275" ht="15" customHeight="1"/>
    <row r="2276" ht="15" customHeight="1"/>
    <row r="2277" ht="15" customHeight="1"/>
    <row r="2278" ht="15" customHeight="1"/>
    <row r="2279" ht="15" customHeight="1"/>
    <row r="2280" ht="15" customHeight="1"/>
    <row r="2281" ht="15" customHeight="1"/>
    <row r="2282" ht="15" customHeight="1"/>
    <row r="2283" ht="15" customHeight="1"/>
    <row r="2284" ht="15" customHeight="1"/>
    <row r="2285" ht="15" customHeight="1"/>
    <row r="2286" ht="15" customHeight="1"/>
    <row r="2287" ht="15" customHeight="1"/>
    <row r="2288" ht="15" customHeight="1"/>
    <row r="2289" ht="15" customHeight="1"/>
    <row r="2290" ht="15" customHeight="1"/>
    <row r="2291" ht="15" customHeight="1"/>
    <row r="2292" ht="15" customHeight="1"/>
    <row r="2293" ht="15" customHeight="1"/>
    <row r="2294" ht="15" customHeight="1"/>
    <row r="2295" ht="15" customHeight="1"/>
    <row r="2296" ht="15" customHeight="1"/>
    <row r="2297" ht="15" customHeight="1"/>
    <row r="2298" ht="15" customHeight="1"/>
    <row r="2299" ht="15" customHeight="1"/>
    <row r="2300" ht="15" customHeight="1"/>
    <row r="2301" ht="15" customHeight="1"/>
    <row r="2302" ht="15" customHeight="1"/>
    <row r="2303" ht="15" customHeight="1"/>
    <row r="2304" ht="15" customHeight="1"/>
    <row r="2305" ht="15" customHeight="1"/>
    <row r="2306" ht="15" customHeight="1"/>
    <row r="2307" ht="15" customHeight="1"/>
    <row r="2308" ht="15" customHeight="1"/>
    <row r="2309" ht="15" customHeight="1"/>
    <row r="2310" ht="15" customHeight="1"/>
    <row r="2311" ht="15" customHeight="1"/>
    <row r="2312" ht="15" customHeight="1"/>
    <row r="2313" ht="15" customHeight="1"/>
    <row r="2314" ht="15" customHeight="1"/>
    <row r="2315" ht="15" customHeight="1"/>
    <row r="2316" ht="15" customHeight="1"/>
    <row r="2317" ht="15" customHeight="1"/>
    <row r="2318" ht="15" customHeight="1"/>
    <row r="2319" ht="15" customHeight="1"/>
    <row r="2320" ht="15" customHeight="1"/>
    <row r="2321" ht="15" customHeight="1"/>
    <row r="2322" ht="15" customHeight="1"/>
    <row r="2323" ht="15" customHeight="1"/>
    <row r="2324" ht="15" customHeight="1"/>
    <row r="2325" ht="15" customHeight="1"/>
    <row r="2326" ht="15" customHeight="1"/>
    <row r="2327" ht="15" customHeight="1"/>
    <row r="2328" ht="15" customHeight="1"/>
    <row r="2329" ht="15" customHeight="1"/>
    <row r="2330" ht="15" customHeight="1"/>
    <row r="2331" ht="15" customHeight="1"/>
    <row r="2332" ht="15" customHeight="1"/>
    <row r="2333" ht="15" customHeight="1"/>
    <row r="2334" ht="15" customHeight="1"/>
    <row r="2335" ht="15" customHeight="1"/>
    <row r="2336" ht="15" customHeight="1"/>
    <row r="2337" ht="15" customHeight="1"/>
    <row r="2338" ht="15" customHeight="1"/>
    <row r="2339" ht="15" customHeight="1"/>
    <row r="2340" ht="15" customHeight="1"/>
    <row r="2342" ht="15" customHeight="1"/>
    <row r="2343" ht="15" customHeight="1"/>
    <row r="2344" ht="15" customHeight="1"/>
    <row r="2345" ht="15" customHeight="1"/>
    <row r="2346" ht="15" customHeight="1"/>
    <row r="2347" ht="15" customHeight="1"/>
    <row r="2348" ht="15" customHeight="1"/>
    <row r="2349" ht="15" customHeight="1"/>
    <row r="2350" ht="15" customHeight="1"/>
    <row r="2351" ht="15" customHeight="1"/>
    <row r="2352" ht="15" customHeight="1"/>
    <row r="2353" ht="15" customHeight="1"/>
    <row r="2354" ht="15" customHeight="1"/>
    <row r="2355" ht="15" customHeight="1"/>
    <row r="2356" ht="15" customHeight="1"/>
    <row r="2357" ht="15" customHeight="1"/>
    <row r="2358" ht="15" customHeight="1"/>
    <row r="2359" ht="15" customHeight="1"/>
    <row r="2360" ht="15" customHeight="1"/>
    <row r="2361" ht="15" customHeight="1"/>
    <row r="2362" ht="15" customHeight="1"/>
    <row r="2363" ht="15" customHeight="1"/>
    <row r="2364" ht="15" customHeight="1"/>
    <row r="2365" ht="15" customHeight="1"/>
    <row r="2366" ht="15" customHeight="1"/>
    <row r="2367" ht="15" customHeight="1"/>
    <row r="2368" ht="15" customHeight="1"/>
    <row r="2369" ht="15" customHeight="1"/>
    <row r="2370" ht="15" customHeight="1"/>
    <row r="2371" ht="15" customHeight="1"/>
    <row r="2372" ht="15" customHeight="1"/>
    <row r="2373" ht="15" customHeight="1"/>
    <row r="2374" ht="15" customHeight="1"/>
    <row r="2375" ht="15" customHeight="1"/>
    <row r="2376" ht="15" customHeight="1"/>
    <row r="2377" ht="15" customHeight="1"/>
    <row r="2378" ht="15" customHeight="1"/>
    <row r="2379" ht="15" customHeight="1"/>
    <row r="2380" ht="15" customHeight="1"/>
    <row r="2381" ht="15" customHeight="1"/>
    <row r="2382" ht="15" customHeight="1"/>
    <row r="2383" ht="15" customHeight="1"/>
    <row r="2384" ht="15" customHeight="1"/>
    <row r="2385" ht="15" customHeight="1"/>
    <row r="2386" ht="15" customHeight="1"/>
    <row r="2387" ht="15" customHeight="1"/>
    <row r="2388" ht="15" customHeight="1"/>
    <row r="2389" ht="15" customHeight="1"/>
    <row r="2390" ht="15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5" customHeight="1"/>
    <row r="2399" ht="15" customHeight="1"/>
    <row r="2400" ht="15" customHeight="1"/>
    <row r="2401" ht="15" customHeight="1"/>
    <row r="2402" ht="15" customHeight="1"/>
    <row r="2403" ht="15" customHeight="1"/>
    <row r="2404" ht="15" customHeight="1"/>
    <row r="2405" ht="15" customHeight="1"/>
    <row r="2406" ht="15" customHeight="1"/>
    <row r="2407" ht="15" customHeight="1"/>
    <row r="2408" ht="15" customHeight="1"/>
    <row r="2409" ht="15" customHeight="1"/>
    <row r="2410" ht="15" customHeight="1"/>
    <row r="2411" ht="15" customHeight="1"/>
    <row r="2412" ht="15" customHeight="1"/>
    <row r="2413" ht="15" customHeight="1"/>
    <row r="2414" ht="15" customHeight="1"/>
    <row r="2415" ht="15" customHeight="1"/>
    <row r="2416" ht="15" customHeight="1"/>
    <row r="2417" ht="15" customHeight="1"/>
    <row r="2418" ht="15" customHeight="1"/>
    <row r="2419" ht="15" customHeight="1"/>
    <row r="2420" ht="15" customHeight="1"/>
    <row r="2421" ht="15" customHeight="1"/>
    <row r="2422" ht="15" customHeight="1"/>
    <row r="2423" ht="15" customHeight="1"/>
    <row r="2424" ht="15" customHeight="1"/>
    <row r="2425" ht="15" customHeight="1"/>
    <row r="2426" ht="15" customHeight="1"/>
    <row r="2427" ht="15" customHeight="1"/>
    <row r="2428" ht="15" customHeight="1"/>
    <row r="2429" ht="15" customHeight="1"/>
    <row r="2430" ht="15" customHeight="1"/>
    <row r="2431" ht="15" customHeight="1"/>
    <row r="2432" ht="15" customHeight="1"/>
    <row r="2433" ht="15" customHeight="1"/>
    <row r="2434" ht="15" customHeight="1"/>
    <row r="2435" ht="15" customHeight="1"/>
    <row r="2436" ht="15" customHeight="1"/>
    <row r="2437" ht="15" customHeight="1"/>
    <row r="2438" ht="15" customHeight="1"/>
    <row r="2439" ht="15" customHeight="1"/>
    <row r="2440" ht="15" customHeight="1"/>
    <row r="2441" ht="15" customHeight="1"/>
    <row r="2442" ht="15" customHeight="1"/>
    <row r="2443" ht="15" customHeight="1"/>
    <row r="2444" ht="15" customHeight="1"/>
    <row r="2445" ht="15" customHeight="1"/>
    <row r="2446" ht="15" customHeight="1"/>
    <row r="2447" ht="15" customHeight="1"/>
    <row r="2448" ht="15" customHeight="1"/>
    <row r="2449" ht="15" customHeight="1"/>
    <row r="2450" ht="15" customHeight="1"/>
    <row r="2451" ht="15" customHeight="1"/>
    <row r="2452" ht="15" customHeight="1"/>
    <row r="2453" ht="15" customHeight="1"/>
    <row r="2454" ht="15" customHeight="1"/>
    <row r="2455" ht="15" customHeight="1"/>
    <row r="2482" spans="1:17" s="221" customFormat="1" ht="15" customHeight="1">
      <c r="A2482" s="184"/>
      <c r="B2482" s="184"/>
      <c r="C2482" s="184"/>
      <c r="D2482" s="184"/>
      <c r="E2482" s="184"/>
      <c r="F2482" s="184"/>
      <c r="G2482" s="184"/>
      <c r="H2482" s="184"/>
      <c r="I2482" s="184"/>
      <c r="J2482" s="184"/>
      <c r="K2482" s="184"/>
      <c r="L2482" s="184"/>
      <c r="M2482" s="184"/>
      <c r="N2482" s="185"/>
      <c r="O2482" s="184"/>
      <c r="P2482" s="184"/>
      <c r="Q2482" s="184"/>
    </row>
    <row r="2486" spans="1:17" ht="15" customHeight="1"/>
    <row r="2487" spans="1:17" ht="9" customHeight="1"/>
    <row r="2488" spans="1:17" ht="13.5" customHeight="1"/>
    <row r="2495" spans="1:17" ht="15" customHeight="1"/>
  </sheetData>
  <sheetProtection formatCells="0" formatColumns="0" formatRows="0" insertColumns="0" insertRows="0" insertHyperlinks="0" deleteColumns="0" deleteRows="0" sort="0" autoFilter="0" pivotTables="0"/>
  <mergeCells count="12">
    <mergeCell ref="A1:K1"/>
    <mergeCell ref="E3:G3"/>
    <mergeCell ref="C4:I4"/>
    <mergeCell ref="A6:K6"/>
    <mergeCell ref="G8:J10"/>
    <mergeCell ref="K30:K38"/>
    <mergeCell ref="G14:J14"/>
    <mergeCell ref="G20:K23"/>
    <mergeCell ref="D7:I7"/>
    <mergeCell ref="A2:K2"/>
    <mergeCell ref="G18:H18"/>
    <mergeCell ref="G16:K16"/>
  </mergeCells>
  <phoneticPr fontId="0" type="noConversion"/>
  <printOptions horizontalCentered="1"/>
  <pageMargins left="0.39370078740157483" right="0.19685039370078741" top="0.59055118110236227" bottom="0.59055118110236227" header="0.51181102362204722" footer="0.51181102362204722"/>
  <pageSetup paperSize="9" scale="65" orientation="portrait" horizontalDpi="1200" verticalDpi="1200" r:id="rId1"/>
  <headerFooter alignWithMargins="0"/>
  <colBreaks count="1" manualBreakCount="1">
    <brk id="11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1"/>
  <dimension ref="A1:M55"/>
  <sheetViews>
    <sheetView topLeftCell="A25" workbookViewId="0">
      <selection activeCell="A4" sqref="A4:I4"/>
    </sheetView>
  </sheetViews>
  <sheetFormatPr baseColWidth="10" defaultColWidth="8.83203125" defaultRowHeight="13"/>
  <cols>
    <col min="1" max="3" width="10.1640625" customWidth="1"/>
    <col min="4" max="4" width="9.5" customWidth="1"/>
    <col min="5" max="6" width="11" customWidth="1"/>
    <col min="7" max="8" width="9.5" customWidth="1"/>
    <col min="9" max="10" width="9.33203125" customWidth="1"/>
  </cols>
  <sheetData>
    <row r="1" spans="1:9" ht="18">
      <c r="A1" s="141" t="s">
        <v>24</v>
      </c>
      <c r="B1" s="142"/>
      <c r="C1" s="142"/>
      <c r="D1" s="142"/>
      <c r="E1" s="142"/>
      <c r="F1" s="142"/>
      <c r="G1" s="142"/>
      <c r="H1" s="142"/>
      <c r="I1" s="142"/>
    </row>
    <row r="2" spans="1:9" ht="18">
      <c r="A2" s="141" t="s">
        <v>25</v>
      </c>
      <c r="B2" s="142"/>
      <c r="C2" s="142"/>
      <c r="D2" s="142"/>
      <c r="E2" s="142"/>
      <c r="F2" s="142"/>
      <c r="G2" s="142"/>
      <c r="H2" s="142"/>
      <c r="I2" s="142"/>
    </row>
    <row r="4" spans="1:9" ht="18">
      <c r="A4" s="141" t="s">
        <v>66</v>
      </c>
      <c r="B4" s="141"/>
      <c r="C4" s="141"/>
      <c r="D4" s="141"/>
      <c r="E4" s="141"/>
      <c r="F4" s="141"/>
      <c r="G4" s="141"/>
      <c r="H4" s="141"/>
      <c r="I4" s="141"/>
    </row>
    <row r="5" spans="1:9" ht="16">
      <c r="C5" s="143" t="s">
        <v>37</v>
      </c>
      <c r="D5" s="144"/>
      <c r="E5" s="144"/>
      <c r="F5" s="144"/>
      <c r="G5" s="144"/>
    </row>
    <row r="6" spans="1:9" ht="16">
      <c r="C6" s="7"/>
      <c r="D6" s="1"/>
      <c r="E6" s="1"/>
      <c r="F6" s="1"/>
      <c r="G6" s="1"/>
    </row>
    <row r="7" spans="1:9" ht="14">
      <c r="A7" s="132" t="s">
        <v>6</v>
      </c>
      <c r="B7" s="132"/>
      <c r="C7" s="132"/>
      <c r="D7" s="132"/>
      <c r="E7" s="132"/>
      <c r="F7" s="131" t="s">
        <v>59</v>
      </c>
      <c r="G7" s="131"/>
      <c r="H7" s="131"/>
    </row>
    <row r="8" spans="1:9" ht="14">
      <c r="A8" s="132" t="s">
        <v>44</v>
      </c>
      <c r="B8" s="132"/>
      <c r="C8" s="132"/>
      <c r="D8" s="132"/>
      <c r="E8" s="132"/>
      <c r="F8" s="131" t="s">
        <v>60</v>
      </c>
      <c r="G8" s="131"/>
      <c r="H8" s="131"/>
    </row>
    <row r="9" spans="1:9" ht="14">
      <c r="A9" s="132" t="s">
        <v>10</v>
      </c>
      <c r="B9" s="132"/>
      <c r="C9" s="132"/>
      <c r="D9" s="132"/>
      <c r="E9" s="132"/>
      <c r="F9" s="131" t="s">
        <v>64</v>
      </c>
      <c r="G9" s="131"/>
      <c r="H9" s="131"/>
    </row>
    <row r="10" spans="1:9" ht="14">
      <c r="A10" s="132" t="s">
        <v>22</v>
      </c>
      <c r="B10" s="132"/>
      <c r="C10" s="132"/>
      <c r="D10" s="132"/>
      <c r="E10" s="132"/>
      <c r="F10" s="131" t="s">
        <v>38</v>
      </c>
      <c r="G10" s="131"/>
      <c r="H10" s="131"/>
    </row>
    <row r="11" spans="1:9" ht="14">
      <c r="A11" s="132" t="s">
        <v>7</v>
      </c>
      <c r="B11" s="132"/>
      <c r="C11" s="132"/>
      <c r="D11" s="132"/>
      <c r="E11" s="132"/>
      <c r="F11" s="131" t="s">
        <v>61</v>
      </c>
      <c r="G11" s="131"/>
      <c r="H11" s="131"/>
    </row>
    <row r="12" spans="1:9" ht="14">
      <c r="A12" s="132" t="s">
        <v>26</v>
      </c>
      <c r="B12" s="132"/>
      <c r="C12" s="132"/>
      <c r="D12" s="132"/>
      <c r="E12" s="132"/>
      <c r="F12" s="133" t="s">
        <v>41</v>
      </c>
      <c r="G12" s="133"/>
      <c r="H12" s="133"/>
      <c r="I12" s="133"/>
    </row>
    <row r="13" spans="1:9" ht="14">
      <c r="A13" s="132" t="s">
        <v>27</v>
      </c>
      <c r="B13" s="132"/>
      <c r="C13" s="132"/>
      <c r="D13" s="132"/>
      <c r="E13" s="132"/>
      <c r="F13" s="8" t="s">
        <v>40</v>
      </c>
      <c r="G13" s="8"/>
      <c r="H13" s="8"/>
      <c r="I13" s="4"/>
    </row>
    <row r="14" spans="1:9" ht="14">
      <c r="A14" s="3"/>
      <c r="B14" s="5" t="s">
        <v>58</v>
      </c>
      <c r="C14" s="5"/>
      <c r="D14" s="5"/>
      <c r="E14" s="5"/>
      <c r="F14" s="5"/>
      <c r="G14" s="5"/>
      <c r="H14" s="5"/>
      <c r="I14" s="8"/>
    </row>
    <row r="15" spans="1:9" ht="14">
      <c r="A15" s="3"/>
      <c r="B15" s="132" t="s">
        <v>57</v>
      </c>
      <c r="C15" s="132"/>
      <c r="D15" s="132"/>
      <c r="E15" s="132"/>
      <c r="F15" s="132"/>
      <c r="G15" s="132"/>
      <c r="H15" s="132"/>
      <c r="I15" s="5"/>
    </row>
    <row r="16" spans="1:9" ht="14">
      <c r="A16" s="132" t="s">
        <v>8</v>
      </c>
      <c r="B16" s="132"/>
      <c r="C16" s="132"/>
      <c r="D16" s="132"/>
      <c r="E16" s="132"/>
      <c r="F16" s="131" t="s">
        <v>62</v>
      </c>
      <c r="G16" s="131"/>
      <c r="H16" s="131"/>
      <c r="I16" s="3"/>
    </row>
    <row r="17" spans="1:13" ht="14">
      <c r="A17" s="132" t="s">
        <v>28</v>
      </c>
      <c r="B17" s="132"/>
      <c r="C17" s="132"/>
      <c r="D17" s="132"/>
      <c r="E17" s="132"/>
      <c r="F17" s="137">
        <v>0.7</v>
      </c>
      <c r="G17" s="131"/>
      <c r="H17" s="131"/>
    </row>
    <row r="18" spans="1:13" ht="14">
      <c r="A18" s="9"/>
      <c r="B18" s="138" t="s">
        <v>29</v>
      </c>
      <c r="C18" s="139"/>
    </row>
    <row r="19" spans="1:13" ht="14">
      <c r="A19" s="124" t="s">
        <v>30</v>
      </c>
      <c r="B19" s="124"/>
      <c r="C19" s="124"/>
      <c r="D19" s="124"/>
      <c r="E19" s="124"/>
      <c r="F19" s="124"/>
      <c r="G19" s="124"/>
      <c r="H19" s="124"/>
    </row>
    <row r="20" spans="1:13" ht="14">
      <c r="A20" s="101" t="s">
        <v>31</v>
      </c>
      <c r="B20" s="127"/>
      <c r="H20" s="10"/>
    </row>
    <row r="21" spans="1:13" ht="14">
      <c r="A21" s="11"/>
      <c r="B21" s="130" t="s">
        <v>32</v>
      </c>
      <c r="C21" s="130"/>
    </row>
    <row r="22" spans="1:13" ht="14">
      <c r="A22" s="101" t="s">
        <v>33</v>
      </c>
      <c r="B22" s="101"/>
      <c r="C22" s="101"/>
      <c r="D22" s="101"/>
      <c r="E22" s="101"/>
      <c r="F22" s="101"/>
      <c r="G22" s="101"/>
      <c r="H22" s="101"/>
    </row>
    <row r="23" spans="1:13" ht="14">
      <c r="A23" s="101" t="s">
        <v>34</v>
      </c>
      <c r="B23" s="101"/>
      <c r="C23" s="101"/>
      <c r="D23" s="11"/>
      <c r="E23" s="11"/>
      <c r="F23" s="11"/>
      <c r="G23" s="11"/>
      <c r="H23" s="11"/>
    </row>
    <row r="24" spans="1:13" ht="16">
      <c r="A24" s="23"/>
      <c r="B24" s="24" t="s">
        <v>42</v>
      </c>
      <c r="C24" s="23"/>
      <c r="D24" s="23"/>
      <c r="E24" s="23"/>
      <c r="F24" s="23"/>
      <c r="G24" s="23"/>
      <c r="H24" s="23"/>
      <c r="I24" s="23"/>
      <c r="J24" s="23"/>
    </row>
    <row r="25" spans="1:13" ht="16">
      <c r="A25" s="23"/>
      <c r="B25" s="24" t="s">
        <v>43</v>
      </c>
      <c r="C25" s="23"/>
      <c r="D25" s="23"/>
      <c r="E25" s="23"/>
      <c r="F25" s="23"/>
      <c r="G25" s="23"/>
      <c r="H25" s="23"/>
      <c r="I25" s="23"/>
      <c r="J25" s="23"/>
    </row>
    <row r="26" spans="1:13" ht="17" thickBot="1">
      <c r="A26" s="23"/>
      <c r="B26" s="23"/>
      <c r="C26" s="23"/>
      <c r="D26" s="23"/>
      <c r="E26" s="23"/>
      <c r="F26" s="23"/>
      <c r="G26" s="23"/>
      <c r="H26" s="23"/>
      <c r="I26" s="23"/>
      <c r="J26" s="23"/>
    </row>
    <row r="27" spans="1:13" ht="28.5" customHeight="1">
      <c r="A27" s="16" t="s">
        <v>11</v>
      </c>
      <c r="B27" s="17" t="s">
        <v>13</v>
      </c>
      <c r="C27" s="17" t="s">
        <v>14</v>
      </c>
      <c r="D27" s="17" t="s">
        <v>9</v>
      </c>
      <c r="E27" s="17" t="s">
        <v>15</v>
      </c>
      <c r="F27" s="17" t="s">
        <v>16</v>
      </c>
      <c r="G27" s="17" t="s">
        <v>9</v>
      </c>
      <c r="H27" s="17" t="s">
        <v>20</v>
      </c>
      <c r="I27" s="18" t="s">
        <v>39</v>
      </c>
      <c r="J27" s="19" t="s">
        <v>21</v>
      </c>
    </row>
    <row r="28" spans="1:13">
      <c r="A28" s="26">
        <v>1</v>
      </c>
      <c r="B28" s="20">
        <f>DATAPAGE!A2</f>
        <v>2.8767175032131935</v>
      </c>
      <c r="C28" s="20">
        <f>DATAPAGE!B2</f>
        <v>2.8760178954413846</v>
      </c>
      <c r="D28" s="2">
        <f t="shared" ref="D28:D33" si="0">IF(B28&lt;&gt;0,(B28/C28-1)*100,"")</f>
        <v>2.4325570884586867E-2</v>
      </c>
      <c r="E28" s="21">
        <f>DATAPAGE!D2</f>
        <v>0.30296913888888888</v>
      </c>
      <c r="F28" s="21">
        <f>DATAPAGE!E2</f>
        <v>0.30291184140507099</v>
      </c>
      <c r="G28" s="2">
        <f t="shared" ref="G28:G33" si="1">IF(E28&lt;&gt;0,(E28/F28-1)*100,"")</f>
        <v>1.8915564195864931E-2</v>
      </c>
      <c r="H28" s="2">
        <f>DATAPAGE!G2</f>
        <v>14.75</v>
      </c>
      <c r="I28" s="2">
        <f>DATAPAGE!H2</f>
        <v>999.2</v>
      </c>
      <c r="J28" s="15">
        <f>DATAPAGE!I2</f>
        <v>379.16</v>
      </c>
      <c r="M28" s="22"/>
    </row>
    <row r="29" spans="1:13">
      <c r="A29" s="26">
        <v>2</v>
      </c>
      <c r="B29" s="20">
        <f>DATAPAGE!A3</f>
        <v>2.874258561779897</v>
      </c>
      <c r="C29" s="20">
        <f>DATAPAGE!B3</f>
        <v>2.8745917307933238</v>
      </c>
      <c r="D29" s="2">
        <f t="shared" si="0"/>
        <v>-1.1590133299899108E-2</v>
      </c>
      <c r="E29" s="21">
        <f>DATAPAGE!D3</f>
        <v>0.30222286111111113</v>
      </c>
      <c r="F29" s="21">
        <f>DATAPAGE!E3</f>
        <v>0.30226101233549529</v>
      </c>
      <c r="G29" s="2">
        <f t="shared" si="1"/>
        <v>-1.2621946869484368E-2</v>
      </c>
      <c r="H29" s="2">
        <f>DATAPAGE!G3</f>
        <v>14.76</v>
      </c>
      <c r="I29" s="2">
        <f>DATAPAGE!H3</f>
        <v>999.2</v>
      </c>
      <c r="J29" s="15">
        <f>DATAPAGE!I3</f>
        <v>378.54</v>
      </c>
    </row>
    <row r="30" spans="1:13">
      <c r="A30" s="26">
        <v>3</v>
      </c>
      <c r="B30" s="20">
        <f>DATAPAGE!A4</f>
        <v>2.8758753292044665</v>
      </c>
      <c r="C30" s="20">
        <f>DATAPAGE!B4</f>
        <v>2.8745910404262545</v>
      </c>
      <c r="D30" s="2">
        <f t="shared" si="0"/>
        <v>4.4677269223725169E-2</v>
      </c>
      <c r="E30" s="21">
        <f>DATAPAGE!D4</f>
        <v>0.30243888888888887</v>
      </c>
      <c r="F30" s="21">
        <f>DATAPAGE!E4</f>
        <v>0.30231240540385573</v>
      </c>
      <c r="G30" s="2">
        <f t="shared" si="1"/>
        <v>4.1838668467519824E-2</v>
      </c>
      <c r="H30" s="2">
        <f>DATAPAGE!G4</f>
        <v>14.79</v>
      </c>
      <c r="I30" s="2">
        <f>DATAPAGE!H4</f>
        <v>999.2</v>
      </c>
      <c r="J30" s="15">
        <f>DATAPAGE!I4</f>
        <v>378.6</v>
      </c>
    </row>
    <row r="31" spans="1:13">
      <c r="A31" s="26">
        <v>4</v>
      </c>
      <c r="B31" s="20">
        <f>DATAPAGE!A5</f>
        <v>2.8717960394158975</v>
      </c>
      <c r="C31" s="20">
        <f>DATAPAGE!B5</f>
        <v>2.873250626239082</v>
      </c>
      <c r="D31" s="2">
        <f t="shared" si="0"/>
        <v>-5.0625128553039023E-2</v>
      </c>
      <c r="E31" s="21">
        <f>DATAPAGE!D5</f>
        <v>0.30349938888888889</v>
      </c>
      <c r="F31" s="21">
        <f>DATAPAGE!E5</f>
        <v>0.30366558437388169</v>
      </c>
      <c r="G31" s="2">
        <f t="shared" si="1"/>
        <v>-5.4729772995343318E-2</v>
      </c>
      <c r="H31" s="2">
        <f>DATAPAGE!G5</f>
        <v>14.8</v>
      </c>
      <c r="I31" s="2">
        <f>DATAPAGE!H5</f>
        <v>999.2</v>
      </c>
      <c r="J31" s="15">
        <f>DATAPAGE!I5</f>
        <v>380.47</v>
      </c>
    </row>
    <row r="32" spans="1:13">
      <c r="A32" s="26">
        <v>5</v>
      </c>
      <c r="B32" s="20">
        <f>DATAPAGE!A6</f>
        <v>36.96983780504619</v>
      </c>
      <c r="C32" s="20">
        <f>DATAPAGE!B6</f>
        <v>36.948779544245404</v>
      </c>
      <c r="D32" s="2">
        <f t="shared" si="0"/>
        <v>5.6993116039372183E-2</v>
      </c>
      <c r="E32" s="21">
        <f>DATAPAGE!D6</f>
        <v>1.0183353055555555</v>
      </c>
      <c r="F32" s="21">
        <f>DATAPAGE!E6</f>
        <v>1.0176049101531586</v>
      </c>
      <c r="G32" s="2">
        <f t="shared" si="1"/>
        <v>7.1775931415962724E-2</v>
      </c>
      <c r="H32" s="2">
        <f>DATAPAGE!G6</f>
        <v>14.87</v>
      </c>
      <c r="I32" s="2">
        <f>DATAPAGE!H6</f>
        <v>999.19</v>
      </c>
      <c r="J32" s="15">
        <f>DATAPAGE!I6</f>
        <v>99.15</v>
      </c>
    </row>
    <row r="33" spans="1:10">
      <c r="A33" s="26">
        <v>6</v>
      </c>
      <c r="B33" s="20">
        <f>DATAPAGE!A7</f>
        <v>36.935803222722662</v>
      </c>
      <c r="C33" s="20">
        <f>DATAPAGE!B7</f>
        <v>36.920861524927808</v>
      </c>
      <c r="D33" s="2">
        <f t="shared" si="0"/>
        <v>4.0469526380815246E-2</v>
      </c>
      <c r="E33" s="21">
        <f>DATAPAGE!D7</f>
        <v>1.0166463611111112</v>
      </c>
      <c r="F33" s="21">
        <f>DATAPAGE!E7</f>
        <v>1.0162551264303656</v>
      </c>
      <c r="G33" s="2">
        <f t="shared" si="1"/>
        <v>3.849768336419146E-2</v>
      </c>
      <c r="H33" s="2">
        <f>DATAPAGE!G7</f>
        <v>14.89</v>
      </c>
      <c r="I33" s="2">
        <f>DATAPAGE!H7</f>
        <v>999.18</v>
      </c>
      <c r="J33" s="15">
        <f>DATAPAGE!I7</f>
        <v>99.09</v>
      </c>
    </row>
    <row r="34" spans="1:10">
      <c r="A34" s="26">
        <v>7</v>
      </c>
      <c r="B34" s="20">
        <f>DATAPAGE!A8</f>
        <v>36.983381513910189</v>
      </c>
      <c r="C34" s="20">
        <f>DATAPAGE!B8</f>
        <v>36.955183240114941</v>
      </c>
      <c r="D34" s="2">
        <f>IF(B34&lt;&gt;0,(B34/C34-1)*100,"")</f>
        <v>7.630397503926023E-2</v>
      </c>
      <c r="E34" s="21">
        <f>DATAPAGE!D8</f>
        <v>1.0335161666666666</v>
      </c>
      <c r="F34" s="21">
        <f>DATAPAGE!E8</f>
        <v>1.0327381787688263</v>
      </c>
      <c r="G34" s="2">
        <f>IF(E34&lt;&gt;0,(E34/F34-1)*100,"")</f>
        <v>7.5332539634365148E-2</v>
      </c>
      <c r="H34" s="2">
        <f>DATAPAGE!G8</f>
        <v>14.9</v>
      </c>
      <c r="I34" s="2">
        <f>DATAPAGE!H8</f>
        <v>999.18</v>
      </c>
      <c r="J34" s="15">
        <f>DATAPAGE!I8</f>
        <v>100.6</v>
      </c>
    </row>
    <row r="35" spans="1:10">
      <c r="A35" s="26">
        <v>8</v>
      </c>
      <c r="B35" s="20">
        <f>DATAPAGE!A9</f>
        <v>62.303488428837824</v>
      </c>
      <c r="C35" s="20">
        <f>DATAPAGE!B9</f>
        <v>62.239374927456588</v>
      </c>
      <c r="D35" s="2">
        <f>IF(B35&lt;&gt;0,(B35/C35-1)*100,"")</f>
        <v>0.10301115886199863</v>
      </c>
      <c r="E35" s="21">
        <f>DATAPAGE!D9</f>
        <v>1.6041829999999999</v>
      </c>
      <c r="F35" s="21">
        <f>DATAPAGE!E9</f>
        <v>1.6025490965072495</v>
      </c>
      <c r="G35" s="2">
        <f>IF(E35&lt;&gt;0,(E35/F35-1)*100,"")</f>
        <v>0.10195653264610804</v>
      </c>
      <c r="H35" s="2">
        <f>DATAPAGE!G9</f>
        <v>14.86</v>
      </c>
      <c r="I35" s="2">
        <f>DATAPAGE!H9</f>
        <v>999.19</v>
      </c>
      <c r="J35" s="15">
        <f>DATAPAGE!I9</f>
        <v>92.69</v>
      </c>
    </row>
    <row r="36" spans="1:10" ht="14" thickBot="1">
      <c r="A36" s="37">
        <v>9</v>
      </c>
      <c r="B36" s="33">
        <f>DATAPAGE!A10</f>
        <v>62.235406061205317</v>
      </c>
      <c r="C36" s="33">
        <f>DATAPAGE!B10</f>
        <v>62.191432951809034</v>
      </c>
      <c r="D36" s="35">
        <f>IF(B36&lt;&gt;0,(B36/C36-1)*100,"")</f>
        <v>7.0706055977765025E-2</v>
      </c>
      <c r="E36" s="34">
        <f>DATAPAGE!D10</f>
        <v>1.024443</v>
      </c>
      <c r="F36" s="34">
        <f>DATAPAGE!E10</f>
        <v>1.0237697800693304</v>
      </c>
      <c r="G36" s="35">
        <f>IF(E36&lt;&gt;0,(E36/F36-1)*100,"")</f>
        <v>6.5758918047387205E-2</v>
      </c>
      <c r="H36" s="35">
        <f>DATAPAGE!G10</f>
        <v>14.89</v>
      </c>
      <c r="I36" s="35">
        <f>DATAPAGE!H10</f>
        <v>999.18</v>
      </c>
      <c r="J36" s="36">
        <f>DATAPAGE!I10</f>
        <v>59.26</v>
      </c>
    </row>
    <row r="38" spans="1:10" ht="14">
      <c r="B38" s="13" t="s">
        <v>45</v>
      </c>
      <c r="C38" s="13"/>
      <c r="D38" s="13"/>
      <c r="E38" s="13"/>
      <c r="F38" s="13"/>
    </row>
    <row r="39" spans="1:10" ht="14" thickBot="1">
      <c r="A39" s="126"/>
      <c r="B39" s="126"/>
      <c r="C39" s="125"/>
      <c r="D39" s="125"/>
    </row>
    <row r="40" spans="1:10" ht="16">
      <c r="A40" s="30" t="s">
        <v>46</v>
      </c>
      <c r="B40" s="128" t="s">
        <v>47</v>
      </c>
      <c r="C40" s="134"/>
      <c r="D40" s="128" t="s">
        <v>48</v>
      </c>
      <c r="E40" s="134"/>
      <c r="F40" s="128" t="s">
        <v>49</v>
      </c>
      <c r="G40" s="134"/>
      <c r="H40" s="128" t="s">
        <v>50</v>
      </c>
      <c r="I40" s="129"/>
    </row>
    <row r="41" spans="1:10" ht="16">
      <c r="A41" s="38" t="s">
        <v>51</v>
      </c>
      <c r="B41" s="135" t="s">
        <v>52</v>
      </c>
      <c r="C41" s="136"/>
      <c r="D41" s="39" t="s">
        <v>52</v>
      </c>
      <c r="E41" s="27"/>
      <c r="F41" s="135"/>
      <c r="G41" s="136"/>
      <c r="H41" s="135" t="s">
        <v>53</v>
      </c>
      <c r="I41" s="140"/>
    </row>
    <row r="42" spans="1:10" ht="16">
      <c r="A42" s="31"/>
      <c r="B42" s="121" t="s">
        <v>54</v>
      </c>
      <c r="C42" s="122"/>
      <c r="D42" s="121" t="s">
        <v>54</v>
      </c>
      <c r="E42" s="122"/>
      <c r="F42" s="29"/>
      <c r="G42" s="28"/>
      <c r="H42" s="121" t="s">
        <v>55</v>
      </c>
      <c r="I42" s="123"/>
    </row>
    <row r="43" spans="1:10" ht="16">
      <c r="A43" s="32" t="s">
        <v>56</v>
      </c>
      <c r="B43" s="104" t="s">
        <v>56</v>
      </c>
      <c r="C43" s="105"/>
      <c r="D43" s="104" t="s">
        <v>56</v>
      </c>
      <c r="E43" s="105"/>
      <c r="F43" s="104" t="s">
        <v>23</v>
      </c>
      <c r="G43" s="105"/>
      <c r="H43" s="104" t="s">
        <v>23</v>
      </c>
      <c r="I43" s="106"/>
    </row>
    <row r="44" spans="1:10" ht="14">
      <c r="A44" s="40">
        <v>4</v>
      </c>
      <c r="B44" s="107">
        <v>4</v>
      </c>
      <c r="C44" s="108"/>
      <c r="D44" s="109">
        <v>4.0019999999999998</v>
      </c>
      <c r="E44" s="110"/>
      <c r="F44" s="112">
        <f>((B44/D44)-1)*100</f>
        <v>-4.997501249375258E-2</v>
      </c>
      <c r="G44" s="113"/>
      <c r="H44" s="109">
        <v>0.15</v>
      </c>
      <c r="I44" s="111"/>
    </row>
    <row r="45" spans="1:10" ht="14">
      <c r="A45" s="40">
        <v>12</v>
      </c>
      <c r="B45" s="107">
        <v>12</v>
      </c>
      <c r="C45" s="108"/>
      <c r="D45" s="109">
        <v>12.01</v>
      </c>
      <c r="E45" s="110"/>
      <c r="F45" s="112">
        <f>((B45/D45)-1)*100</f>
        <v>-8.3263946711076287E-2</v>
      </c>
      <c r="G45" s="113"/>
      <c r="H45" s="109">
        <v>0.15</v>
      </c>
      <c r="I45" s="111"/>
    </row>
    <row r="46" spans="1:10" ht="15" thickBot="1">
      <c r="A46" s="41">
        <v>20</v>
      </c>
      <c r="B46" s="114">
        <v>20</v>
      </c>
      <c r="C46" s="115"/>
      <c r="D46" s="116">
        <v>19.992999999999999</v>
      </c>
      <c r="E46" s="117"/>
      <c r="F46" s="118">
        <f>((B46/D46)-1)*100</f>
        <v>3.5012254289013001E-2</v>
      </c>
      <c r="G46" s="119"/>
      <c r="H46" s="116">
        <v>0.15</v>
      </c>
      <c r="I46" s="120"/>
    </row>
    <row r="47" spans="1:10" ht="14">
      <c r="B47" s="13"/>
      <c r="C47" s="13"/>
      <c r="D47" s="13"/>
      <c r="E47" s="13"/>
      <c r="F47" s="13"/>
    </row>
    <row r="48" spans="1:10" ht="16">
      <c r="B48" s="25"/>
      <c r="D48" s="25"/>
    </row>
    <row r="49" spans="1:7" ht="16">
      <c r="A49" s="103"/>
      <c r="B49" s="103"/>
      <c r="C49" s="103"/>
      <c r="D49" s="103"/>
      <c r="E49" s="103"/>
      <c r="F49" s="103"/>
      <c r="G49" s="103"/>
    </row>
    <row r="50" spans="1:7" ht="16">
      <c r="A50" s="25"/>
      <c r="B50" s="25"/>
      <c r="C50" s="25"/>
      <c r="D50" s="25"/>
      <c r="E50" s="25"/>
    </row>
    <row r="51" spans="1:7" ht="16">
      <c r="A51" s="102" t="s">
        <v>65</v>
      </c>
      <c r="B51" s="102"/>
      <c r="C51" s="102"/>
      <c r="D51" s="102"/>
      <c r="E51" s="102"/>
      <c r="F51" s="102"/>
      <c r="G51" s="12" t="s">
        <v>35</v>
      </c>
    </row>
    <row r="52" spans="1:7" ht="14">
      <c r="G52" s="6" t="s">
        <v>36</v>
      </c>
    </row>
    <row r="53" spans="1:7" ht="14">
      <c r="A53" s="101" t="s">
        <v>63</v>
      </c>
      <c r="B53" s="101"/>
      <c r="C53" s="101"/>
      <c r="D53" s="101"/>
    </row>
    <row r="54" spans="1:7" ht="14">
      <c r="A54" s="13"/>
      <c r="B54" s="13"/>
      <c r="C54" s="13"/>
      <c r="D54" s="13"/>
    </row>
    <row r="55" spans="1:7" ht="14">
      <c r="A55" s="14" t="s">
        <v>12</v>
      </c>
      <c r="B55" s="13"/>
      <c r="C55" s="13"/>
      <c r="D55" s="13"/>
    </row>
  </sheetData>
  <mergeCells count="58">
    <mergeCell ref="A1:I1"/>
    <mergeCell ref="A2:I2"/>
    <mergeCell ref="A4:I4"/>
    <mergeCell ref="C5:G5"/>
    <mergeCell ref="A8:E8"/>
    <mergeCell ref="A7:E7"/>
    <mergeCell ref="F7:H7"/>
    <mergeCell ref="F8:H8"/>
    <mergeCell ref="A13:E13"/>
    <mergeCell ref="F11:H11"/>
    <mergeCell ref="A12:E12"/>
    <mergeCell ref="F12:I12"/>
    <mergeCell ref="F40:G41"/>
    <mergeCell ref="B15:H15"/>
    <mergeCell ref="F16:H16"/>
    <mergeCell ref="A16:E16"/>
    <mergeCell ref="F17:H17"/>
    <mergeCell ref="A17:E17"/>
    <mergeCell ref="B18:C18"/>
    <mergeCell ref="B41:C41"/>
    <mergeCell ref="H41:I41"/>
    <mergeCell ref="D40:E40"/>
    <mergeCell ref="B40:C40"/>
    <mergeCell ref="A23:C23"/>
    <mergeCell ref="F9:H9"/>
    <mergeCell ref="F10:H10"/>
    <mergeCell ref="A10:E10"/>
    <mergeCell ref="A11:E11"/>
    <mergeCell ref="A9:E9"/>
    <mergeCell ref="A19:H19"/>
    <mergeCell ref="C39:D39"/>
    <mergeCell ref="A39:B39"/>
    <mergeCell ref="A20:B20"/>
    <mergeCell ref="H40:I40"/>
    <mergeCell ref="B21:C21"/>
    <mergeCell ref="A22:H22"/>
    <mergeCell ref="D46:E46"/>
    <mergeCell ref="F46:G46"/>
    <mergeCell ref="H46:I46"/>
    <mergeCell ref="B42:C42"/>
    <mergeCell ref="D42:E42"/>
    <mergeCell ref="H42:I42"/>
    <mergeCell ref="A53:D53"/>
    <mergeCell ref="A51:F51"/>
    <mergeCell ref="A49:G49"/>
    <mergeCell ref="F43:G43"/>
    <mergeCell ref="H43:I43"/>
    <mergeCell ref="B44:C44"/>
    <mergeCell ref="D44:E44"/>
    <mergeCell ref="H44:I44"/>
    <mergeCell ref="F44:G44"/>
    <mergeCell ref="B43:C43"/>
    <mergeCell ref="D43:E43"/>
    <mergeCell ref="B45:C45"/>
    <mergeCell ref="D45:E45"/>
    <mergeCell ref="F45:G45"/>
    <mergeCell ref="H45:I45"/>
    <mergeCell ref="B46:C46"/>
  </mergeCells>
  <phoneticPr fontId="0" type="noConversion"/>
  <printOptions horizontalCentered="1"/>
  <pageMargins left="0.39370078740157483" right="0.19685039370078741" top="0.39370078740157483" bottom="0.39370078740157483" header="0.51181102362204722" footer="0.51181102362204722"/>
  <pageSetup paperSize="9" orientation="portrait" horizontalDpi="1200" verticalDpi="1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1"/>
  <dimension ref="A1:W260"/>
  <sheetViews>
    <sheetView zoomScale="70" zoomScaleNormal="70" workbookViewId="0">
      <selection activeCell="R8" sqref="R8"/>
    </sheetView>
  </sheetViews>
  <sheetFormatPr baseColWidth="10" defaultColWidth="8.83203125" defaultRowHeight="13"/>
  <cols>
    <col min="1" max="1" width="37.5" customWidth="1"/>
    <col min="2" max="2" width="48.6640625" customWidth="1"/>
    <col min="3" max="3" width="17.5" customWidth="1"/>
    <col min="4" max="4" width="24.6640625" customWidth="1"/>
    <col min="14" max="14" width="28.1640625" customWidth="1"/>
    <col min="17" max="17" width="10" customWidth="1"/>
    <col min="18" max="18" width="9" customWidth="1"/>
    <col min="19" max="19" width="19.1640625" customWidth="1"/>
    <col min="22" max="22" width="11.6640625" customWidth="1"/>
    <col min="23" max="23" width="14.1640625" customWidth="1"/>
  </cols>
  <sheetData>
    <row r="1" spans="1:23" ht="45.75" customHeight="1" thickBot="1">
      <c r="A1" s="69" t="s">
        <v>78</v>
      </c>
      <c r="B1" s="69" t="s">
        <v>483</v>
      </c>
      <c r="C1" s="67" t="s">
        <v>79</v>
      </c>
      <c r="D1" s="67" t="s">
        <v>101</v>
      </c>
      <c r="E1" s="46" t="s">
        <v>11</v>
      </c>
      <c r="F1" s="47" t="s">
        <v>13</v>
      </c>
      <c r="G1" s="47" t="s">
        <v>74</v>
      </c>
      <c r="H1" s="47" t="s">
        <v>430</v>
      </c>
      <c r="I1" s="47" t="s">
        <v>15</v>
      </c>
      <c r="J1" s="47" t="s">
        <v>72</v>
      </c>
      <c r="K1" s="47" t="s">
        <v>430</v>
      </c>
      <c r="L1" s="47" t="s">
        <v>20</v>
      </c>
      <c r="M1" s="47" t="s">
        <v>451</v>
      </c>
      <c r="N1" s="47" t="s">
        <v>21</v>
      </c>
      <c r="O1" s="48" t="s">
        <v>444</v>
      </c>
      <c r="P1" s="70" t="s">
        <v>99</v>
      </c>
      <c r="Q1" s="43">
        <v>0</v>
      </c>
      <c r="R1" s="69" t="s">
        <v>500</v>
      </c>
      <c r="S1" s="69" t="s">
        <v>102</v>
      </c>
      <c r="T1" s="145" t="s">
        <v>174</v>
      </c>
      <c r="U1" s="145" t="s">
        <v>79</v>
      </c>
      <c r="V1" s="42"/>
      <c r="W1" s="42"/>
    </row>
    <row r="2" spans="1:23" ht="15" customHeight="1">
      <c r="A2" s="69" t="s">
        <v>488</v>
      </c>
      <c r="B2" s="69" t="s">
        <v>213</v>
      </c>
      <c r="C2">
        <v>8</v>
      </c>
      <c r="D2" s="93" t="s">
        <v>487</v>
      </c>
      <c r="E2" s="94">
        <v>1</v>
      </c>
      <c r="F2" s="95"/>
      <c r="G2" s="96">
        <v>10</v>
      </c>
      <c r="H2" s="96"/>
      <c r="I2" s="97"/>
      <c r="J2" s="97"/>
      <c r="K2" s="96">
        <v>0.05</v>
      </c>
      <c r="L2" s="96"/>
      <c r="M2" s="96"/>
      <c r="N2" s="98"/>
      <c r="O2" s="99">
        <v>0.25</v>
      </c>
      <c r="P2" s="69" t="s">
        <v>485</v>
      </c>
      <c r="Q2">
        <v>0</v>
      </c>
      <c r="S2" s="69" t="s">
        <v>486</v>
      </c>
      <c r="T2" s="145"/>
      <c r="U2" s="145"/>
      <c r="V2" s="42"/>
      <c r="W2" s="42"/>
    </row>
    <row r="3" spans="1:23" ht="18">
      <c r="A3" s="69" t="s">
        <v>482</v>
      </c>
      <c r="B3" s="69" t="s">
        <v>484</v>
      </c>
      <c r="C3" s="69">
        <v>15</v>
      </c>
      <c r="D3" s="69" t="s">
        <v>445</v>
      </c>
      <c r="E3" s="53">
        <v>2</v>
      </c>
      <c r="F3" s="54"/>
      <c r="G3" s="55">
        <v>20</v>
      </c>
      <c r="H3" s="55"/>
      <c r="I3" s="56"/>
      <c r="J3" s="56"/>
      <c r="K3" s="55">
        <v>0.09</v>
      </c>
      <c r="L3" s="55"/>
      <c r="M3" s="55"/>
      <c r="N3" s="57"/>
      <c r="O3" s="99"/>
      <c r="P3" s="172" t="s">
        <v>108</v>
      </c>
      <c r="Q3">
        <v>14.4291</v>
      </c>
      <c r="R3">
        <v>0.14272879617181106</v>
      </c>
      <c r="S3" s="69" t="s">
        <v>79</v>
      </c>
      <c r="T3" s="145"/>
      <c r="U3" s="145"/>
    </row>
    <row r="4" spans="1:23" ht="18">
      <c r="A4" s="69" t="s">
        <v>479</v>
      </c>
      <c r="B4" s="69" t="s">
        <v>214</v>
      </c>
      <c r="C4" s="69">
        <v>25</v>
      </c>
      <c r="D4" s="69" t="s">
        <v>446</v>
      </c>
      <c r="E4" s="53">
        <v>3</v>
      </c>
      <c r="F4" s="54"/>
      <c r="G4" s="55">
        <v>10</v>
      </c>
      <c r="H4" s="55"/>
      <c r="I4" s="56"/>
      <c r="J4" s="56"/>
      <c r="K4" s="55">
        <v>0.02</v>
      </c>
      <c r="L4" s="55"/>
      <c r="M4" s="55"/>
      <c r="N4" s="57"/>
      <c r="O4" s="99"/>
      <c r="P4" s="173"/>
      <c r="Q4">
        <v>39.7669</v>
      </c>
      <c r="R4">
        <v>5.6674261788823649E-2</v>
      </c>
      <c r="S4" s="69"/>
      <c r="T4" s="145"/>
      <c r="U4" s="145"/>
    </row>
    <row r="5" spans="1:23" ht="18">
      <c r="A5" s="69" t="s">
        <v>481</v>
      </c>
      <c r="B5" s="69" t="s">
        <v>215</v>
      </c>
      <c r="C5" s="69">
        <v>40</v>
      </c>
      <c r="D5" s="69" t="s">
        <v>447</v>
      </c>
      <c r="E5" s="53">
        <v>4</v>
      </c>
      <c r="F5" s="54"/>
      <c r="G5" s="55">
        <v>50</v>
      </c>
      <c r="H5" s="55"/>
      <c r="I5" s="56"/>
      <c r="J5" s="56"/>
      <c r="K5" s="55">
        <v>0.05</v>
      </c>
      <c r="L5" s="55"/>
      <c r="M5" s="55"/>
      <c r="N5" s="57"/>
      <c r="O5" s="99"/>
      <c r="P5" s="173"/>
      <c r="Q5">
        <v>64.927499999999995</v>
      </c>
      <c r="R5">
        <v>-0.14799999999999999</v>
      </c>
      <c r="S5" s="69"/>
      <c r="T5" s="145"/>
      <c r="U5" s="145"/>
    </row>
    <row r="6" spans="1:23" ht="18">
      <c r="A6" s="69" t="s">
        <v>480</v>
      </c>
      <c r="B6" s="69" t="s">
        <v>259</v>
      </c>
      <c r="C6" s="69">
        <v>50</v>
      </c>
      <c r="D6" s="69" t="s">
        <v>147</v>
      </c>
      <c r="E6" s="53">
        <v>5</v>
      </c>
      <c r="F6" s="54"/>
      <c r="G6" s="55">
        <v>40</v>
      </c>
      <c r="H6" s="55"/>
      <c r="I6" s="56"/>
      <c r="J6" s="56"/>
      <c r="K6" s="55">
        <v>0.04</v>
      </c>
      <c r="L6" s="55"/>
      <c r="M6" s="55"/>
      <c r="N6" s="57"/>
      <c r="O6" s="99"/>
      <c r="P6" s="69"/>
      <c r="Q6">
        <v>1</v>
      </c>
      <c r="R6">
        <v>1</v>
      </c>
      <c r="S6" s="69"/>
      <c r="T6" s="145"/>
      <c r="U6" s="145"/>
    </row>
    <row r="7" spans="1:23" ht="18">
      <c r="A7" s="69" t="s">
        <v>477</v>
      </c>
      <c r="B7" s="69" t="s">
        <v>216</v>
      </c>
      <c r="C7" s="69">
        <v>80</v>
      </c>
      <c r="D7" s="69" t="s">
        <v>448</v>
      </c>
      <c r="E7" s="53">
        <v>6</v>
      </c>
      <c r="F7" s="54"/>
      <c r="G7" s="55">
        <v>60</v>
      </c>
      <c r="H7" s="55"/>
      <c r="I7" s="56"/>
      <c r="J7" s="56"/>
      <c r="K7" s="55">
        <v>0.08</v>
      </c>
      <c r="L7" s="55"/>
      <c r="M7" s="55"/>
      <c r="N7" s="57"/>
      <c r="O7" s="99"/>
      <c r="P7" s="69"/>
      <c r="S7" s="69"/>
      <c r="T7" s="145"/>
      <c r="U7" s="145"/>
    </row>
    <row r="8" spans="1:23" ht="18">
      <c r="A8" s="69" t="s">
        <v>77</v>
      </c>
      <c r="B8" s="69" t="s">
        <v>217</v>
      </c>
      <c r="C8" s="69">
        <v>100</v>
      </c>
      <c r="D8" s="69" t="s">
        <v>449</v>
      </c>
      <c r="E8" s="53">
        <v>7</v>
      </c>
      <c r="F8" s="54"/>
      <c r="G8" s="55">
        <v>50</v>
      </c>
      <c r="H8" s="55"/>
      <c r="I8" s="56"/>
      <c r="J8" s="56"/>
      <c r="K8" s="55">
        <v>0.01</v>
      </c>
      <c r="L8" s="55"/>
      <c r="M8" s="55"/>
      <c r="N8" s="57"/>
      <c r="O8" s="99"/>
      <c r="P8" s="69"/>
      <c r="Q8" s="69"/>
      <c r="R8" s="69"/>
      <c r="S8" s="69"/>
      <c r="T8" s="145"/>
      <c r="U8" s="145"/>
    </row>
    <row r="9" spans="1:23" ht="18">
      <c r="A9" s="69" t="s">
        <v>95</v>
      </c>
      <c r="C9" s="69">
        <v>150</v>
      </c>
      <c r="D9" s="69" t="s">
        <v>450</v>
      </c>
      <c r="E9" s="53">
        <v>8</v>
      </c>
      <c r="F9" s="54"/>
      <c r="G9" s="55">
        <v>70</v>
      </c>
      <c r="H9" s="55"/>
      <c r="I9" s="56"/>
      <c r="J9" s="56"/>
      <c r="K9" s="55">
        <v>0.04</v>
      </c>
      <c r="L9" s="55"/>
      <c r="M9" s="55"/>
      <c r="N9" s="57"/>
      <c r="O9" s="99"/>
      <c r="P9" s="69"/>
      <c r="Q9" s="69"/>
      <c r="R9" s="69"/>
      <c r="S9" s="69"/>
      <c r="T9" s="145"/>
      <c r="U9" s="145"/>
    </row>
    <row r="10" spans="1:23" ht="15.75" customHeight="1" thickBot="1">
      <c r="A10" s="69" t="s">
        <v>109</v>
      </c>
      <c r="B10" s="69"/>
      <c r="C10" s="69" t="s">
        <v>80</v>
      </c>
      <c r="D10" s="69" t="s">
        <v>98</v>
      </c>
      <c r="E10" s="58">
        <v>9</v>
      </c>
      <c r="F10" s="59"/>
      <c r="G10" s="60">
        <v>20</v>
      </c>
      <c r="H10" s="60"/>
      <c r="I10" s="61"/>
      <c r="J10" s="61"/>
      <c r="K10" s="60">
        <v>0.01</v>
      </c>
      <c r="L10" s="60"/>
      <c r="M10" s="60"/>
      <c r="N10" s="62"/>
      <c r="O10" s="100"/>
      <c r="P10" s="69"/>
      <c r="Q10" s="69" t="s">
        <v>105</v>
      </c>
      <c r="R10" s="69"/>
      <c r="S10" s="69" t="s">
        <v>80</v>
      </c>
      <c r="T10" s="145" t="s">
        <v>206</v>
      </c>
      <c r="U10" s="145" t="s">
        <v>80</v>
      </c>
    </row>
    <row r="11" spans="1:23" ht="21">
      <c r="A11" s="69" t="s">
        <v>73</v>
      </c>
      <c r="B11" s="69"/>
      <c r="C11" s="69">
        <v>8</v>
      </c>
      <c r="D11" s="69" t="s">
        <v>452</v>
      </c>
      <c r="E11" s="68"/>
      <c r="F11" s="63"/>
      <c r="G11" s="63"/>
      <c r="H11" s="64"/>
      <c r="I11" s="65"/>
      <c r="J11" s="65"/>
      <c r="K11" s="64"/>
      <c r="L11" s="64"/>
      <c r="M11" s="64"/>
      <c r="N11" s="64"/>
      <c r="O11" s="66"/>
      <c r="P11" s="69"/>
      <c r="Q11" s="69" t="s">
        <v>105</v>
      </c>
      <c r="R11" s="69"/>
      <c r="S11" s="69" t="s">
        <v>296</v>
      </c>
      <c r="T11" s="145"/>
      <c r="U11" s="145"/>
    </row>
    <row r="12" spans="1:23" ht="22" thickBot="1">
      <c r="A12" s="69" t="s">
        <v>76</v>
      </c>
      <c r="B12" s="69"/>
      <c r="C12" s="69">
        <v>15</v>
      </c>
      <c r="D12" s="69" t="s">
        <v>453</v>
      </c>
      <c r="E12" s="71"/>
      <c r="F12" s="157" t="s">
        <v>75</v>
      </c>
      <c r="G12" s="157"/>
      <c r="H12" s="157"/>
      <c r="I12" s="157"/>
      <c r="J12" s="157"/>
      <c r="K12" s="157"/>
      <c r="L12" s="157"/>
      <c r="M12" s="157"/>
      <c r="N12" s="64"/>
      <c r="O12" s="66"/>
      <c r="P12" s="69"/>
      <c r="Q12" s="69"/>
      <c r="R12" s="69"/>
      <c r="S12" s="69" t="s">
        <v>297</v>
      </c>
      <c r="T12" s="145"/>
      <c r="U12" s="145"/>
    </row>
    <row r="13" spans="1:23" ht="21">
      <c r="A13" s="69" t="s">
        <v>478</v>
      </c>
      <c r="B13" s="69"/>
      <c r="C13" s="69">
        <v>25</v>
      </c>
      <c r="D13" s="69" t="s">
        <v>454</v>
      </c>
      <c r="E13" s="72" t="s">
        <v>46</v>
      </c>
      <c r="F13" s="158" t="s">
        <v>47</v>
      </c>
      <c r="G13" s="159"/>
      <c r="H13" s="158" t="s">
        <v>48</v>
      </c>
      <c r="I13" s="159"/>
      <c r="J13" s="73"/>
      <c r="K13" s="74"/>
      <c r="L13" s="158" t="s">
        <v>50</v>
      </c>
      <c r="M13" s="167"/>
      <c r="N13" s="64"/>
      <c r="O13" s="66"/>
      <c r="P13" s="69"/>
      <c r="Q13" s="69"/>
      <c r="R13" s="69"/>
      <c r="S13" s="69" t="s">
        <v>299</v>
      </c>
      <c r="T13" s="145"/>
      <c r="U13" s="145"/>
    </row>
    <row r="14" spans="1:23" ht="15" customHeight="1">
      <c r="A14" s="69" t="s">
        <v>6</v>
      </c>
      <c r="B14" s="69"/>
      <c r="C14" s="69">
        <v>32</v>
      </c>
      <c r="D14" s="69" t="s">
        <v>455</v>
      </c>
      <c r="E14" s="75" t="s">
        <v>51</v>
      </c>
      <c r="F14" s="168" t="s">
        <v>52</v>
      </c>
      <c r="G14" s="169"/>
      <c r="H14" s="44" t="s">
        <v>52</v>
      </c>
      <c r="I14" s="76"/>
      <c r="J14" s="168" t="s">
        <v>49</v>
      </c>
      <c r="K14" s="169"/>
      <c r="L14" s="168" t="s">
        <v>53</v>
      </c>
      <c r="M14" s="170"/>
      <c r="N14" s="64"/>
      <c r="O14" s="66"/>
      <c r="P14" s="69"/>
      <c r="Q14" s="69"/>
      <c r="R14" s="69"/>
      <c r="S14" s="69" t="s">
        <v>301</v>
      </c>
      <c r="T14" s="145"/>
      <c r="U14" s="145"/>
    </row>
    <row r="15" spans="1:23" ht="21">
      <c r="A15" s="69"/>
      <c r="B15" s="69"/>
      <c r="C15" s="69">
        <v>40</v>
      </c>
      <c r="D15" s="69" t="s">
        <v>456</v>
      </c>
      <c r="E15" s="77"/>
      <c r="F15" s="165" t="s">
        <v>54</v>
      </c>
      <c r="G15" s="166"/>
      <c r="H15" s="165" t="s">
        <v>54</v>
      </c>
      <c r="I15" s="166"/>
      <c r="J15" s="78"/>
      <c r="K15" s="79"/>
      <c r="L15" s="165" t="s">
        <v>55</v>
      </c>
      <c r="M15" s="171"/>
      <c r="N15" s="64"/>
      <c r="O15" s="66"/>
      <c r="P15" s="69"/>
      <c r="Q15" s="69"/>
      <c r="R15" s="69"/>
      <c r="S15" s="69" t="s">
        <v>298</v>
      </c>
      <c r="T15" s="145"/>
      <c r="U15" s="145"/>
    </row>
    <row r="16" spans="1:23" ht="21">
      <c r="A16" s="69"/>
      <c r="B16" s="69"/>
      <c r="C16" s="69">
        <v>50</v>
      </c>
      <c r="D16" s="69" t="s">
        <v>457</v>
      </c>
      <c r="E16" s="53" t="s">
        <v>56</v>
      </c>
      <c r="F16" s="160" t="s">
        <v>56</v>
      </c>
      <c r="G16" s="164"/>
      <c r="H16" s="160" t="s">
        <v>56</v>
      </c>
      <c r="I16" s="164"/>
      <c r="J16" s="160" t="s">
        <v>302</v>
      </c>
      <c r="K16" s="164"/>
      <c r="L16" s="160" t="s">
        <v>302</v>
      </c>
      <c r="M16" s="161"/>
      <c r="N16" s="64"/>
      <c r="O16" s="66"/>
      <c r="P16" s="69"/>
      <c r="Q16" s="69"/>
      <c r="R16" s="69"/>
      <c r="S16" s="69" t="s">
        <v>300</v>
      </c>
      <c r="T16" s="145"/>
      <c r="U16" s="145"/>
    </row>
    <row r="17" spans="1:21" ht="21">
      <c r="A17" s="69"/>
      <c r="B17" s="69"/>
      <c r="C17" s="69">
        <v>65</v>
      </c>
      <c r="D17" s="69" t="s">
        <v>458</v>
      </c>
      <c r="E17" s="53">
        <v>4</v>
      </c>
      <c r="F17" s="155">
        <v>4</v>
      </c>
      <c r="G17" s="156"/>
      <c r="H17" s="155">
        <f>F17+J17/1000</f>
        <v>4.0030000000000001</v>
      </c>
      <c r="I17" s="156"/>
      <c r="J17" s="162">
        <v>3</v>
      </c>
      <c r="K17" s="163"/>
      <c r="L17" s="160">
        <v>5</v>
      </c>
      <c r="M17" s="161"/>
      <c r="N17" s="64"/>
      <c r="O17" s="66"/>
      <c r="P17" s="69"/>
      <c r="Q17" s="69"/>
      <c r="R17" s="69"/>
      <c r="S17" s="69" t="s">
        <v>104</v>
      </c>
      <c r="T17" s="145"/>
      <c r="U17" s="145"/>
    </row>
    <row r="18" spans="1:21" ht="21">
      <c r="A18" s="69"/>
      <c r="B18" s="69"/>
      <c r="C18" s="69">
        <v>80</v>
      </c>
      <c r="D18" s="69" t="s">
        <v>459</v>
      </c>
      <c r="E18" s="53">
        <v>12</v>
      </c>
      <c r="F18" s="155">
        <v>12</v>
      </c>
      <c r="G18" s="156"/>
      <c r="H18" s="155">
        <f>F18+J18/1000</f>
        <v>12.002000000000001</v>
      </c>
      <c r="I18" s="156"/>
      <c r="J18" s="162">
        <v>2</v>
      </c>
      <c r="K18" s="163"/>
      <c r="L18" s="160">
        <v>5</v>
      </c>
      <c r="M18" s="161"/>
      <c r="N18" s="64"/>
      <c r="O18" s="66"/>
      <c r="P18" s="69"/>
      <c r="Q18" s="69"/>
      <c r="R18" s="69"/>
      <c r="S18" s="69" t="s">
        <v>103</v>
      </c>
      <c r="T18" s="145"/>
      <c r="U18" s="145"/>
    </row>
    <row r="19" spans="1:21" ht="22" thickBot="1">
      <c r="A19" s="69"/>
      <c r="B19" s="69"/>
      <c r="C19" s="69">
        <v>100</v>
      </c>
      <c r="D19" s="69" t="s">
        <v>460</v>
      </c>
      <c r="E19" s="58">
        <v>20</v>
      </c>
      <c r="F19" s="146">
        <v>20</v>
      </c>
      <c r="G19" s="147"/>
      <c r="H19" s="146">
        <f>F19+J19/1000</f>
        <v>20.004000000000001</v>
      </c>
      <c r="I19" s="147"/>
      <c r="J19" s="148">
        <v>4</v>
      </c>
      <c r="K19" s="149"/>
      <c r="L19" s="150">
        <v>5</v>
      </c>
      <c r="M19" s="151"/>
      <c r="N19" s="64"/>
      <c r="O19" s="66"/>
      <c r="P19" s="69"/>
      <c r="Q19" s="69"/>
      <c r="R19" s="69"/>
      <c r="S19" s="69"/>
      <c r="T19" s="145"/>
      <c r="U19" s="145"/>
    </row>
    <row r="20" spans="1:21" ht="22" thickBot="1">
      <c r="A20" s="69"/>
      <c r="B20" s="69"/>
      <c r="C20" s="69">
        <v>125</v>
      </c>
      <c r="D20" s="69" t="s">
        <v>461</v>
      </c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145"/>
      <c r="U20" s="145"/>
    </row>
    <row r="21" spans="1:21" ht="58" thickBot="1">
      <c r="A21" s="69"/>
      <c r="B21" s="69"/>
      <c r="C21" s="69">
        <v>150</v>
      </c>
      <c r="D21" s="69" t="s">
        <v>462</v>
      </c>
      <c r="E21" s="46" t="s">
        <v>11</v>
      </c>
      <c r="F21" s="47" t="s">
        <v>13</v>
      </c>
      <c r="G21" s="47" t="s">
        <v>74</v>
      </c>
      <c r="H21" s="47" t="s">
        <v>430</v>
      </c>
      <c r="I21" s="47" t="s">
        <v>15</v>
      </c>
      <c r="J21" s="47" t="s">
        <v>72</v>
      </c>
      <c r="K21" s="47" t="s">
        <v>430</v>
      </c>
      <c r="L21" s="47" t="s">
        <v>20</v>
      </c>
      <c r="M21" s="47" t="s">
        <v>451</v>
      </c>
      <c r="N21" s="47" t="s">
        <v>21</v>
      </c>
      <c r="O21" s="48" t="s">
        <v>444</v>
      </c>
      <c r="P21" s="69"/>
      <c r="Q21" s="69"/>
      <c r="R21" s="69"/>
      <c r="S21" s="69"/>
      <c r="T21" s="145"/>
      <c r="U21" s="145"/>
    </row>
    <row r="22" spans="1:21" ht="21">
      <c r="A22" s="69"/>
      <c r="B22" s="69"/>
      <c r="C22" s="69">
        <v>200</v>
      </c>
      <c r="D22" s="69" t="s">
        <v>463</v>
      </c>
      <c r="E22" s="49">
        <v>1</v>
      </c>
      <c r="F22" s="50"/>
      <c r="G22" s="51">
        <v>10</v>
      </c>
      <c r="H22" s="51"/>
      <c r="I22" s="52"/>
      <c r="J22" s="52"/>
      <c r="K22" s="51">
        <v>0.05</v>
      </c>
      <c r="L22" s="51"/>
      <c r="M22" s="51"/>
      <c r="N22" s="80"/>
      <c r="O22" s="152">
        <v>0.25</v>
      </c>
      <c r="P22" s="69"/>
      <c r="Q22" s="69"/>
      <c r="R22" s="69"/>
      <c r="S22" s="69"/>
      <c r="T22" s="145"/>
      <c r="U22" s="145"/>
    </row>
    <row r="23" spans="1:21" ht="18">
      <c r="A23" s="69"/>
      <c r="B23" s="69"/>
      <c r="C23" s="69" t="s">
        <v>81</v>
      </c>
      <c r="D23" s="69" t="s">
        <v>97</v>
      </c>
      <c r="E23" s="53">
        <v>2</v>
      </c>
      <c r="F23" s="54"/>
      <c r="G23" s="55">
        <v>20</v>
      </c>
      <c r="H23" s="55"/>
      <c r="I23" s="56"/>
      <c r="J23" s="56"/>
      <c r="K23" s="55">
        <v>0.09</v>
      </c>
      <c r="L23" s="55"/>
      <c r="M23" s="55"/>
      <c r="N23" s="81"/>
      <c r="O23" s="153"/>
      <c r="P23" s="69"/>
      <c r="Q23" s="69"/>
      <c r="R23" s="69"/>
      <c r="S23" s="69" t="s">
        <v>105</v>
      </c>
      <c r="T23" s="145" t="s">
        <v>206</v>
      </c>
      <c r="U23" s="145" t="s">
        <v>207</v>
      </c>
    </row>
    <row r="24" spans="1:21" ht="21">
      <c r="A24" s="69"/>
      <c r="B24" s="69"/>
      <c r="C24" s="69">
        <v>6</v>
      </c>
      <c r="D24" s="69" t="s">
        <v>464</v>
      </c>
      <c r="E24" s="53">
        <v>3</v>
      </c>
      <c r="F24" s="54"/>
      <c r="G24" s="55">
        <v>10</v>
      </c>
      <c r="H24" s="55"/>
      <c r="I24" s="56"/>
      <c r="J24" s="56"/>
      <c r="K24" s="55">
        <v>0.02</v>
      </c>
      <c r="L24" s="55"/>
      <c r="M24" s="55"/>
      <c r="N24" s="81"/>
      <c r="O24" s="153"/>
      <c r="P24" s="69"/>
      <c r="Q24" s="69"/>
      <c r="R24" s="69"/>
      <c r="S24" s="69" t="s">
        <v>135</v>
      </c>
      <c r="T24" s="145"/>
      <c r="U24" s="145"/>
    </row>
    <row r="25" spans="1:21" ht="21">
      <c r="A25" s="69"/>
      <c r="B25" s="69"/>
      <c r="C25" s="69">
        <v>10</v>
      </c>
      <c r="D25" s="69" t="s">
        <v>465</v>
      </c>
      <c r="E25" s="53">
        <v>4</v>
      </c>
      <c r="F25" s="54"/>
      <c r="G25" s="55">
        <v>25</v>
      </c>
      <c r="H25" s="55"/>
      <c r="I25" s="56"/>
      <c r="J25" s="56"/>
      <c r="K25" s="55">
        <v>0.05</v>
      </c>
      <c r="L25" s="55"/>
      <c r="M25" s="55"/>
      <c r="N25" s="81"/>
      <c r="O25" s="153"/>
      <c r="P25" s="69"/>
      <c r="Q25" s="69"/>
      <c r="R25" s="69"/>
      <c r="S25" s="69" t="s">
        <v>106</v>
      </c>
      <c r="T25" s="145"/>
      <c r="U25" s="145"/>
    </row>
    <row r="26" spans="1:21" ht="21">
      <c r="A26" s="69"/>
      <c r="B26" s="69"/>
      <c r="C26" s="69">
        <v>15</v>
      </c>
      <c r="D26" s="69" t="s">
        <v>466</v>
      </c>
      <c r="E26" s="53">
        <v>5</v>
      </c>
      <c r="F26" s="54"/>
      <c r="G26" s="55">
        <v>15</v>
      </c>
      <c r="H26" s="55"/>
      <c r="I26" s="56"/>
      <c r="J26" s="56"/>
      <c r="K26" s="55">
        <v>0.04</v>
      </c>
      <c r="L26" s="55"/>
      <c r="M26" s="55"/>
      <c r="N26" s="81"/>
      <c r="O26" s="153"/>
      <c r="P26" s="69"/>
      <c r="Q26" s="69"/>
      <c r="R26" s="69"/>
      <c r="S26" s="69" t="s">
        <v>136</v>
      </c>
      <c r="T26" s="145"/>
      <c r="U26" s="145"/>
    </row>
    <row r="27" spans="1:21" ht="15" customHeight="1">
      <c r="A27" s="69"/>
      <c r="B27" s="69"/>
      <c r="C27" s="69">
        <v>25</v>
      </c>
      <c r="D27" s="69" t="s">
        <v>467</v>
      </c>
      <c r="E27" s="53">
        <v>6</v>
      </c>
      <c r="F27" s="54"/>
      <c r="G27" s="55">
        <v>20</v>
      </c>
      <c r="H27" s="55"/>
      <c r="I27" s="56"/>
      <c r="J27" s="56"/>
      <c r="K27" s="55">
        <v>0.08</v>
      </c>
      <c r="L27" s="55"/>
      <c r="M27" s="55"/>
      <c r="N27" s="81"/>
      <c r="O27" s="153"/>
      <c r="P27" s="69"/>
      <c r="Q27" s="69"/>
      <c r="R27" s="69"/>
      <c r="S27" s="69"/>
      <c r="T27" s="145"/>
      <c r="U27" s="145"/>
    </row>
    <row r="28" spans="1:21" ht="21">
      <c r="A28" s="69"/>
      <c r="B28" s="69"/>
      <c r="C28" s="69">
        <v>40</v>
      </c>
      <c r="D28" s="69" t="s">
        <v>468</v>
      </c>
      <c r="E28" s="53">
        <v>7</v>
      </c>
      <c r="F28" s="54"/>
      <c r="G28" s="55">
        <v>40</v>
      </c>
      <c r="H28" s="55"/>
      <c r="I28" s="56"/>
      <c r="J28" s="56"/>
      <c r="K28" s="55">
        <v>0.01</v>
      </c>
      <c r="L28" s="55"/>
      <c r="M28" s="55"/>
      <c r="N28" s="81"/>
      <c r="O28" s="153"/>
      <c r="P28" s="69"/>
      <c r="Q28" s="69"/>
      <c r="R28" s="69"/>
      <c r="S28" s="69"/>
      <c r="T28" s="145"/>
      <c r="U28" s="145"/>
    </row>
    <row r="29" spans="1:21" ht="21">
      <c r="A29" s="69"/>
      <c r="B29" s="69"/>
      <c r="C29" s="69">
        <v>50</v>
      </c>
      <c r="D29" s="69" t="s">
        <v>469</v>
      </c>
      <c r="E29" s="53">
        <v>8</v>
      </c>
      <c r="F29" s="54"/>
      <c r="G29" s="55">
        <v>30</v>
      </c>
      <c r="H29" s="55"/>
      <c r="I29" s="56"/>
      <c r="J29" s="56"/>
      <c r="K29" s="55">
        <v>0.04</v>
      </c>
      <c r="L29" s="55"/>
      <c r="M29" s="55"/>
      <c r="N29" s="81"/>
      <c r="O29" s="153"/>
      <c r="P29" s="69"/>
      <c r="Q29" s="69"/>
      <c r="R29" s="69"/>
      <c r="S29" s="69"/>
      <c r="T29" s="145"/>
      <c r="U29" s="145"/>
    </row>
    <row r="30" spans="1:21" ht="21">
      <c r="A30" s="69"/>
      <c r="B30" s="69"/>
      <c r="C30" s="69">
        <v>65</v>
      </c>
      <c r="D30" s="69" t="s">
        <v>470</v>
      </c>
      <c r="E30" s="82">
        <v>9</v>
      </c>
      <c r="F30" s="83"/>
      <c r="G30" s="84">
        <v>25</v>
      </c>
      <c r="H30" s="84"/>
      <c r="I30" s="85"/>
      <c r="J30" s="85"/>
      <c r="K30" s="84">
        <v>0.01</v>
      </c>
      <c r="L30" s="84"/>
      <c r="M30" s="84"/>
      <c r="N30" s="86"/>
      <c r="O30" s="153"/>
      <c r="P30" s="69"/>
      <c r="Q30" s="69"/>
      <c r="R30" s="69"/>
      <c r="S30" s="69"/>
      <c r="T30" s="145"/>
      <c r="U30" s="145"/>
    </row>
    <row r="31" spans="1:21" ht="21">
      <c r="A31" s="69"/>
      <c r="B31" s="69"/>
      <c r="C31" s="69">
        <v>80</v>
      </c>
      <c r="D31" s="69" t="s">
        <v>471</v>
      </c>
      <c r="E31" s="53">
        <v>10</v>
      </c>
      <c r="F31" s="87"/>
      <c r="G31" s="55">
        <v>50</v>
      </c>
      <c r="H31" s="87"/>
      <c r="I31" s="87"/>
      <c r="J31" s="87"/>
      <c r="K31" s="55">
        <v>0.04</v>
      </c>
      <c r="L31" s="87"/>
      <c r="M31" s="87"/>
      <c r="N31" s="88"/>
      <c r="O31" s="153"/>
      <c r="P31" s="69"/>
      <c r="Q31" s="69"/>
      <c r="R31" s="69"/>
      <c r="S31" s="69"/>
      <c r="T31" s="145"/>
      <c r="U31" s="145"/>
    </row>
    <row r="32" spans="1:21" ht="21">
      <c r="A32" s="69"/>
      <c r="B32" s="69"/>
      <c r="C32" s="69">
        <v>100</v>
      </c>
      <c r="D32" s="69" t="s">
        <v>472</v>
      </c>
      <c r="E32" s="53">
        <v>11</v>
      </c>
      <c r="F32" s="87"/>
      <c r="G32" s="55">
        <v>70</v>
      </c>
      <c r="H32" s="87"/>
      <c r="I32" s="87"/>
      <c r="J32" s="87"/>
      <c r="K32" s="55">
        <v>0.08</v>
      </c>
      <c r="L32" s="87"/>
      <c r="M32" s="87"/>
      <c r="N32" s="88"/>
      <c r="O32" s="153"/>
      <c r="P32" s="69"/>
      <c r="Q32" s="69"/>
      <c r="R32" s="69"/>
      <c r="S32" s="69"/>
      <c r="T32" s="145"/>
      <c r="U32" s="145"/>
    </row>
    <row r="33" spans="1:21" ht="22" thickBot="1">
      <c r="A33" s="69"/>
      <c r="B33" s="69"/>
      <c r="C33" s="69">
        <v>125</v>
      </c>
      <c r="D33" s="69" t="s">
        <v>473</v>
      </c>
      <c r="E33" s="58">
        <v>12</v>
      </c>
      <c r="F33" s="89"/>
      <c r="G33" s="60">
        <v>20</v>
      </c>
      <c r="H33" s="89"/>
      <c r="I33" s="89"/>
      <c r="J33" s="89"/>
      <c r="K33" s="60">
        <v>0.01</v>
      </c>
      <c r="L33" s="89"/>
      <c r="M33" s="89"/>
      <c r="N33" s="90"/>
      <c r="O33" s="154"/>
      <c r="P33" s="69"/>
      <c r="Q33" s="69"/>
      <c r="R33" s="69"/>
      <c r="S33" s="69"/>
      <c r="T33" s="145"/>
      <c r="U33" s="145"/>
    </row>
    <row r="34" spans="1:21" ht="21">
      <c r="A34" s="69"/>
      <c r="B34" s="69"/>
      <c r="C34" s="69">
        <v>150</v>
      </c>
      <c r="D34" s="69" t="s">
        <v>474</v>
      </c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145"/>
      <c r="U34" s="145"/>
    </row>
    <row r="35" spans="1:21" ht="21">
      <c r="A35" s="69"/>
      <c r="B35" s="69"/>
      <c r="C35" s="69">
        <v>200</v>
      </c>
      <c r="D35" s="69" t="s">
        <v>475</v>
      </c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145"/>
      <c r="U35" s="145"/>
    </row>
    <row r="36" spans="1:21" ht="18">
      <c r="A36" s="69"/>
      <c r="B36" s="69"/>
      <c r="C36" s="69" t="s">
        <v>82</v>
      </c>
      <c r="D36" s="69" t="s">
        <v>96</v>
      </c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 t="s">
        <v>82</v>
      </c>
      <c r="T36" s="145" t="s">
        <v>206</v>
      </c>
      <c r="U36" s="145" t="s">
        <v>82</v>
      </c>
    </row>
    <row r="37" spans="1:21" ht="18">
      <c r="A37" s="69"/>
      <c r="B37" s="69"/>
      <c r="C37" s="69">
        <v>10</v>
      </c>
      <c r="D37" s="69" t="s">
        <v>83</v>
      </c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  <c r="T37" s="145"/>
      <c r="U37" s="145"/>
    </row>
    <row r="38" spans="1:21" ht="18">
      <c r="A38" s="69"/>
      <c r="B38" s="69"/>
      <c r="C38" s="69">
        <v>15</v>
      </c>
      <c r="D38" s="69" t="s">
        <v>84</v>
      </c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145"/>
      <c r="U38" s="145"/>
    </row>
    <row r="39" spans="1:21" ht="18">
      <c r="A39" s="69"/>
      <c r="B39" s="69"/>
      <c r="C39" s="69">
        <v>25</v>
      </c>
      <c r="D39" s="69" t="s">
        <v>85</v>
      </c>
      <c r="E39" s="69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145"/>
      <c r="U39" s="145"/>
    </row>
    <row r="40" spans="1:21" ht="12.75" customHeight="1">
      <c r="A40" s="69"/>
      <c r="B40" s="69"/>
      <c r="C40" s="69">
        <v>32</v>
      </c>
      <c r="D40" s="69" t="s">
        <v>86</v>
      </c>
      <c r="E40" s="69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145"/>
      <c r="U40" s="145"/>
    </row>
    <row r="41" spans="1:21" ht="18">
      <c r="A41" s="69"/>
      <c r="B41" s="69"/>
      <c r="C41" s="69">
        <v>40</v>
      </c>
      <c r="D41" s="69" t="s">
        <v>87</v>
      </c>
      <c r="E41" s="69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145"/>
      <c r="U41" s="145"/>
    </row>
    <row r="42" spans="1:21" ht="18">
      <c r="A42" s="69"/>
      <c r="B42" s="69"/>
      <c r="C42" s="69">
        <v>50</v>
      </c>
      <c r="D42" s="69" t="s">
        <v>88</v>
      </c>
      <c r="E42" s="69"/>
      <c r="F42" s="69"/>
      <c r="G42" s="69"/>
      <c r="H42" s="69"/>
      <c r="I42" s="69"/>
      <c r="J42" s="69"/>
      <c r="K42" s="69"/>
      <c r="L42" s="69"/>
      <c r="M42" s="69"/>
      <c r="N42" s="69"/>
      <c r="O42" s="69"/>
      <c r="P42" s="69"/>
      <c r="Q42" s="69"/>
      <c r="R42" s="69"/>
      <c r="S42" s="69"/>
      <c r="T42" s="145"/>
      <c r="U42" s="145"/>
    </row>
    <row r="43" spans="1:21" ht="18">
      <c r="A43" s="69"/>
      <c r="B43" s="69"/>
      <c r="C43" s="69">
        <v>65</v>
      </c>
      <c r="D43" s="69" t="s">
        <v>89</v>
      </c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69"/>
      <c r="S43" s="69"/>
      <c r="T43" s="145"/>
      <c r="U43" s="145"/>
    </row>
    <row r="44" spans="1:21" ht="18">
      <c r="A44" s="69"/>
      <c r="B44" s="69"/>
      <c r="C44" s="69">
        <v>80</v>
      </c>
      <c r="D44" s="69" t="s">
        <v>90</v>
      </c>
      <c r="E44" s="69"/>
      <c r="F44" s="69"/>
      <c r="G44" s="69"/>
      <c r="H44" s="69"/>
      <c r="I44" s="69"/>
      <c r="J44" s="69"/>
      <c r="K44" s="69"/>
      <c r="L44" s="69"/>
      <c r="M44" s="69"/>
      <c r="N44" s="69"/>
      <c r="O44" s="69"/>
      <c r="P44" s="69"/>
      <c r="Q44" s="69"/>
      <c r="R44" s="69"/>
      <c r="S44" s="69"/>
      <c r="T44" s="145"/>
      <c r="U44" s="145"/>
    </row>
    <row r="45" spans="1:21" ht="18">
      <c r="A45" s="69"/>
      <c r="B45" s="69"/>
      <c r="C45" s="69">
        <v>100</v>
      </c>
      <c r="D45" s="69" t="s">
        <v>91</v>
      </c>
      <c r="E45" s="69"/>
      <c r="F45" s="69"/>
      <c r="G45" s="69"/>
      <c r="H45" s="69"/>
      <c r="I45" s="69"/>
      <c r="J45" s="69"/>
      <c r="K45" s="69"/>
      <c r="L45" s="69"/>
      <c r="M45" s="69"/>
      <c r="N45" s="69"/>
      <c r="O45" s="69"/>
      <c r="P45" s="69"/>
      <c r="Q45" s="69"/>
      <c r="R45" s="69"/>
      <c r="S45" s="69"/>
      <c r="T45" s="145"/>
      <c r="U45" s="145"/>
    </row>
    <row r="46" spans="1:21" ht="18">
      <c r="A46" s="69"/>
      <c r="B46" s="69"/>
      <c r="C46" s="69">
        <v>125</v>
      </c>
      <c r="D46" s="69" t="s">
        <v>92</v>
      </c>
      <c r="E46" s="69"/>
      <c r="F46" s="69"/>
      <c r="G46" s="69"/>
      <c r="H46" s="69"/>
      <c r="I46" s="69"/>
      <c r="J46" s="69"/>
      <c r="K46" s="69"/>
      <c r="L46" s="69"/>
      <c r="M46" s="69"/>
      <c r="N46" s="69"/>
      <c r="O46" s="69"/>
      <c r="P46" s="69"/>
      <c r="Q46" s="69"/>
      <c r="R46" s="69"/>
      <c r="S46" s="69"/>
      <c r="T46" s="145"/>
      <c r="U46" s="145"/>
    </row>
    <row r="47" spans="1:21" ht="18">
      <c r="A47" s="69"/>
      <c r="B47" s="69"/>
      <c r="C47" s="69">
        <v>150</v>
      </c>
      <c r="D47" s="69" t="s">
        <v>93</v>
      </c>
      <c r="E47" s="69"/>
      <c r="F47" s="69"/>
      <c r="G47" s="69"/>
      <c r="H47" s="69"/>
      <c r="I47" s="69"/>
      <c r="J47" s="69"/>
      <c r="K47" s="69"/>
      <c r="L47" s="69"/>
      <c r="M47" s="69"/>
      <c r="N47" s="69"/>
      <c r="O47" s="69"/>
      <c r="P47" s="69"/>
      <c r="Q47" s="69"/>
      <c r="R47" s="69"/>
      <c r="S47" s="69"/>
      <c r="T47" s="145"/>
      <c r="U47" s="145"/>
    </row>
    <row r="48" spans="1:21" ht="18">
      <c r="A48" s="69"/>
      <c r="B48" s="69"/>
      <c r="C48" s="69">
        <v>200</v>
      </c>
      <c r="D48" s="69" t="s">
        <v>94</v>
      </c>
      <c r="E48" s="69"/>
      <c r="F48" s="69"/>
      <c r="G48" s="69"/>
      <c r="H48" s="69"/>
      <c r="I48" s="69"/>
      <c r="J48" s="69"/>
      <c r="K48" s="69"/>
      <c r="L48" s="69"/>
      <c r="M48" s="69"/>
      <c r="N48" s="69"/>
      <c r="O48" s="69"/>
      <c r="P48" s="69"/>
      <c r="Q48" s="69"/>
      <c r="R48" s="69"/>
      <c r="S48" s="69"/>
      <c r="T48" s="145"/>
      <c r="U48" s="145"/>
    </row>
    <row r="49" spans="1:21" ht="18">
      <c r="A49" s="69"/>
      <c r="B49" s="69"/>
      <c r="C49" s="69" t="s">
        <v>100</v>
      </c>
      <c r="D49" s="91" t="s">
        <v>110</v>
      </c>
      <c r="E49" s="69"/>
      <c r="F49" s="69"/>
      <c r="G49" s="69"/>
      <c r="H49" s="69"/>
      <c r="I49" s="69"/>
      <c r="J49" s="69"/>
      <c r="K49" s="69"/>
      <c r="L49" s="69"/>
      <c r="M49" s="69"/>
      <c r="N49" s="69"/>
      <c r="O49" s="69"/>
      <c r="P49" s="69"/>
      <c r="Q49" s="69"/>
      <c r="R49" s="69"/>
      <c r="S49" s="69" t="s">
        <v>107</v>
      </c>
      <c r="T49" s="145" t="s">
        <v>174</v>
      </c>
      <c r="U49" s="145" t="s">
        <v>100</v>
      </c>
    </row>
    <row r="50" spans="1:21" ht="18">
      <c r="A50" s="69"/>
      <c r="B50" s="69"/>
      <c r="C50" s="69">
        <v>6</v>
      </c>
      <c r="D50" s="69" t="s">
        <v>111</v>
      </c>
      <c r="E50" s="69"/>
      <c r="F50" s="69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69"/>
      <c r="R50" s="69"/>
      <c r="S50" s="69" t="s">
        <v>139</v>
      </c>
      <c r="T50" s="145"/>
      <c r="U50" s="145"/>
    </row>
    <row r="51" spans="1:21" ht="18">
      <c r="A51" s="69"/>
      <c r="B51" s="69"/>
      <c r="C51" s="69">
        <v>15</v>
      </c>
      <c r="D51" s="69" t="s">
        <v>112</v>
      </c>
      <c r="E51" s="69"/>
      <c r="F51" s="69"/>
      <c r="G51" s="69"/>
      <c r="H51" s="69"/>
      <c r="I51" s="69"/>
      <c r="J51" s="69"/>
      <c r="K51" s="69"/>
      <c r="L51" s="69"/>
      <c r="M51" s="69"/>
      <c r="N51" s="69"/>
      <c r="O51" s="69"/>
      <c r="P51" s="69"/>
      <c r="Q51" s="69"/>
      <c r="R51" s="69"/>
      <c r="S51" s="69" t="s">
        <v>138</v>
      </c>
      <c r="T51" s="145"/>
      <c r="U51" s="145"/>
    </row>
    <row r="52" spans="1:21" ht="18">
      <c r="A52" s="69"/>
      <c r="B52" s="69"/>
      <c r="C52" s="69">
        <v>25</v>
      </c>
      <c r="D52" s="69" t="s">
        <v>113</v>
      </c>
      <c r="E52" s="69"/>
      <c r="F52" s="69"/>
      <c r="G52" s="69"/>
      <c r="H52" s="69"/>
      <c r="I52" s="69"/>
      <c r="J52" s="69"/>
      <c r="K52" s="69"/>
      <c r="L52" s="69"/>
      <c r="M52" s="69"/>
      <c r="N52" s="69"/>
      <c r="O52" s="69"/>
      <c r="P52" s="69"/>
      <c r="Q52" s="69"/>
      <c r="R52" s="69"/>
      <c r="S52" s="69" t="s">
        <v>137</v>
      </c>
      <c r="T52" s="145"/>
      <c r="U52" s="145"/>
    </row>
    <row r="53" spans="1:21" ht="18">
      <c r="A53" s="69"/>
      <c r="B53" s="69"/>
      <c r="C53" s="69">
        <v>40</v>
      </c>
      <c r="D53" s="69" t="s">
        <v>114</v>
      </c>
      <c r="E53" s="69"/>
      <c r="F53" s="69"/>
      <c r="G53" s="69"/>
      <c r="H53" s="69"/>
      <c r="I53" s="69"/>
      <c r="J53" s="69"/>
      <c r="K53" s="69"/>
      <c r="L53" s="69"/>
      <c r="M53" s="69"/>
      <c r="N53" s="69"/>
      <c r="O53" s="69"/>
      <c r="P53" s="69"/>
      <c r="Q53" s="69"/>
      <c r="R53" s="69"/>
      <c r="S53" s="69"/>
      <c r="T53" s="145"/>
      <c r="U53" s="145"/>
    </row>
    <row r="54" spans="1:21" ht="18">
      <c r="A54" s="69"/>
      <c r="B54" s="69"/>
      <c r="C54" s="69">
        <v>50</v>
      </c>
      <c r="D54" s="69" t="s">
        <v>140</v>
      </c>
      <c r="E54" s="69"/>
      <c r="F54" s="69"/>
      <c r="G54" s="69"/>
      <c r="H54" s="69"/>
      <c r="I54" s="69"/>
      <c r="J54" s="69"/>
      <c r="K54" s="69"/>
      <c r="L54" s="69"/>
      <c r="M54" s="69"/>
      <c r="N54" s="69"/>
      <c r="O54" s="69"/>
      <c r="P54" s="69"/>
      <c r="Q54" s="69"/>
      <c r="R54" s="69"/>
      <c r="S54" s="69"/>
      <c r="T54" s="145"/>
      <c r="U54" s="145"/>
    </row>
    <row r="55" spans="1:21" ht="18">
      <c r="A55" s="69"/>
      <c r="B55" s="69"/>
      <c r="C55" s="69">
        <v>65</v>
      </c>
      <c r="D55" s="69" t="s">
        <v>141</v>
      </c>
      <c r="E55" s="69"/>
      <c r="F55" s="69"/>
      <c r="G55" s="69"/>
      <c r="H55" s="69"/>
      <c r="I55" s="69"/>
      <c r="J55" s="69"/>
      <c r="K55" s="69"/>
      <c r="L55" s="69"/>
      <c r="M55" s="69"/>
      <c r="N55" s="69"/>
      <c r="O55" s="69"/>
      <c r="P55" s="69"/>
      <c r="Q55" s="69"/>
      <c r="R55" s="69"/>
      <c r="S55" s="69"/>
      <c r="T55" s="145"/>
      <c r="U55" s="145"/>
    </row>
    <row r="56" spans="1:21" ht="18">
      <c r="A56" s="69"/>
      <c r="B56" s="69"/>
      <c r="C56" s="69">
        <v>80</v>
      </c>
      <c r="D56" s="69" t="s">
        <v>142</v>
      </c>
      <c r="E56" s="69"/>
      <c r="F56" s="69"/>
      <c r="G56" s="69"/>
      <c r="H56" s="69"/>
      <c r="I56" s="69"/>
      <c r="J56" s="69"/>
      <c r="K56" s="69"/>
      <c r="L56" s="69"/>
      <c r="M56" s="69"/>
      <c r="N56" s="69"/>
      <c r="O56" s="69"/>
      <c r="P56" s="69"/>
      <c r="Q56" s="69"/>
      <c r="R56" s="69"/>
      <c r="S56" s="69"/>
      <c r="T56" s="145"/>
      <c r="U56" s="145"/>
    </row>
    <row r="57" spans="1:21" ht="18">
      <c r="A57" s="69"/>
      <c r="B57" s="69"/>
      <c r="C57" s="69">
        <v>100</v>
      </c>
      <c r="D57" s="69" t="s">
        <v>143</v>
      </c>
      <c r="E57" s="69"/>
      <c r="F57" s="69"/>
      <c r="G57" s="69"/>
      <c r="H57" s="69"/>
      <c r="I57" s="69"/>
      <c r="J57" s="69"/>
      <c r="K57" s="69"/>
      <c r="L57" s="69"/>
      <c r="M57" s="69"/>
      <c r="N57" s="69"/>
      <c r="O57" s="69"/>
      <c r="P57" s="69"/>
      <c r="Q57" s="69"/>
      <c r="R57" s="69"/>
      <c r="S57" s="69"/>
      <c r="T57" s="145"/>
      <c r="U57" s="145"/>
    </row>
    <row r="58" spans="1:21" ht="18">
      <c r="A58" s="69"/>
      <c r="B58" s="69"/>
      <c r="C58" s="69">
        <v>150</v>
      </c>
      <c r="D58" s="69" t="s">
        <v>144</v>
      </c>
      <c r="E58" s="69"/>
      <c r="F58" s="69"/>
      <c r="G58" s="69"/>
      <c r="H58" s="69"/>
      <c r="I58" s="69"/>
      <c r="J58" s="69"/>
      <c r="K58" s="69"/>
      <c r="L58" s="69"/>
      <c r="M58" s="69"/>
      <c r="N58" s="69"/>
      <c r="O58" s="69"/>
      <c r="P58" s="69"/>
      <c r="Q58" s="69"/>
      <c r="R58" s="69"/>
      <c r="S58" s="69"/>
      <c r="T58" s="145"/>
      <c r="U58" s="145"/>
    </row>
    <row r="59" spans="1:21" ht="18">
      <c r="A59" s="69"/>
      <c r="B59" s="69"/>
      <c r="C59" s="69" t="s">
        <v>115</v>
      </c>
      <c r="D59" s="69" t="s">
        <v>125</v>
      </c>
      <c r="E59" s="69"/>
      <c r="F59" s="69"/>
      <c r="G59" s="69"/>
      <c r="H59" s="69"/>
      <c r="I59" s="69"/>
      <c r="J59" s="69"/>
      <c r="K59" s="69"/>
      <c r="L59" s="69"/>
      <c r="M59" s="69"/>
      <c r="N59" s="69"/>
      <c r="O59" s="69"/>
      <c r="P59" s="69"/>
      <c r="Q59" s="69"/>
      <c r="R59" s="69"/>
      <c r="S59" s="69" t="s">
        <v>115</v>
      </c>
      <c r="T59" s="145" t="s">
        <v>174</v>
      </c>
      <c r="U59" s="145" t="s">
        <v>115</v>
      </c>
    </row>
    <row r="60" spans="1:21" ht="18">
      <c r="A60" s="69"/>
      <c r="B60" s="69"/>
      <c r="C60" s="69">
        <v>8</v>
      </c>
      <c r="D60" s="69" t="s">
        <v>118</v>
      </c>
      <c r="E60" s="69"/>
      <c r="F60" s="69"/>
      <c r="G60" s="69"/>
      <c r="H60" s="69"/>
      <c r="I60" s="69"/>
      <c r="J60" s="69"/>
      <c r="K60" s="69"/>
      <c r="L60" s="69"/>
      <c r="M60" s="69"/>
      <c r="N60" s="69"/>
      <c r="O60" s="69"/>
      <c r="P60" s="69"/>
      <c r="Q60" s="69"/>
      <c r="R60" s="69"/>
      <c r="S60" s="69"/>
      <c r="T60" s="145"/>
      <c r="U60" s="145"/>
    </row>
    <row r="61" spans="1:21" ht="18">
      <c r="A61" s="69"/>
      <c r="B61" s="69"/>
      <c r="C61" s="69">
        <v>15</v>
      </c>
      <c r="D61" s="69" t="s">
        <v>116</v>
      </c>
      <c r="E61" s="69"/>
      <c r="F61" s="69"/>
      <c r="G61" s="69"/>
      <c r="H61" s="69"/>
      <c r="I61" s="69"/>
      <c r="J61" s="69"/>
      <c r="K61" s="69"/>
      <c r="L61" s="69"/>
      <c r="M61" s="69"/>
      <c r="N61" s="69"/>
      <c r="O61" s="69"/>
      <c r="P61" s="69"/>
      <c r="Q61" s="69"/>
      <c r="R61" s="69"/>
      <c r="S61" s="69"/>
      <c r="T61" s="145"/>
      <c r="U61" s="145"/>
    </row>
    <row r="62" spans="1:21" ht="18">
      <c r="A62" s="69"/>
      <c r="B62" s="69"/>
      <c r="C62" s="69">
        <v>25</v>
      </c>
      <c r="D62" s="69" t="s">
        <v>117</v>
      </c>
      <c r="E62" s="69"/>
      <c r="F62" s="69"/>
      <c r="G62" s="69"/>
      <c r="H62" s="69"/>
      <c r="I62" s="69"/>
      <c r="J62" s="69"/>
      <c r="K62" s="69"/>
      <c r="L62" s="69"/>
      <c r="M62" s="69"/>
      <c r="N62" s="69"/>
      <c r="O62" s="69"/>
      <c r="P62" s="69"/>
      <c r="Q62" s="69"/>
      <c r="R62" s="69"/>
      <c r="S62" s="69"/>
      <c r="T62" s="145"/>
      <c r="U62" s="145"/>
    </row>
    <row r="63" spans="1:21" ht="18">
      <c r="A63" s="69"/>
      <c r="B63" s="69"/>
      <c r="C63" s="69" t="s">
        <v>119</v>
      </c>
      <c r="D63" s="69" t="s">
        <v>125</v>
      </c>
      <c r="E63" s="69"/>
      <c r="F63" s="69"/>
      <c r="G63" s="69"/>
      <c r="H63" s="69"/>
      <c r="I63" s="69"/>
      <c r="J63" s="69"/>
      <c r="K63" s="69"/>
      <c r="L63" s="69"/>
      <c r="M63" s="69"/>
      <c r="N63" s="69"/>
      <c r="O63" s="69"/>
      <c r="P63" s="69"/>
      <c r="Q63" s="69"/>
      <c r="R63" s="69"/>
      <c r="S63" s="69" t="s">
        <v>119</v>
      </c>
      <c r="T63" s="145" t="s">
        <v>174</v>
      </c>
      <c r="U63" s="145" t="s">
        <v>119</v>
      </c>
    </row>
    <row r="64" spans="1:21" ht="18">
      <c r="A64" s="69"/>
      <c r="B64" s="69"/>
      <c r="C64" s="69">
        <v>8</v>
      </c>
      <c r="D64" s="69" t="s">
        <v>120</v>
      </c>
      <c r="E64" s="69"/>
      <c r="F64" s="69"/>
      <c r="G64" s="69"/>
      <c r="H64" s="69"/>
      <c r="I64" s="69"/>
      <c r="J64" s="69"/>
      <c r="K64" s="69"/>
      <c r="L64" s="69"/>
      <c r="M64" s="69"/>
      <c r="N64" s="69"/>
      <c r="O64" s="69"/>
      <c r="P64" s="69"/>
      <c r="Q64" s="69"/>
      <c r="R64" s="69"/>
      <c r="S64" s="69"/>
      <c r="T64" s="145"/>
      <c r="U64" s="145"/>
    </row>
    <row r="65" spans="1:21" ht="18">
      <c r="A65" s="69"/>
      <c r="B65" s="69"/>
      <c r="C65" s="69">
        <v>15</v>
      </c>
      <c r="D65" s="69" t="s">
        <v>121</v>
      </c>
      <c r="E65" s="69"/>
      <c r="F65" s="69"/>
      <c r="G65" s="69"/>
      <c r="H65" s="69"/>
      <c r="I65" s="69"/>
      <c r="J65" s="69"/>
      <c r="K65" s="69"/>
      <c r="L65" s="69"/>
      <c r="M65" s="69"/>
      <c r="N65" s="69"/>
      <c r="O65" s="69"/>
      <c r="P65" s="69"/>
      <c r="Q65" s="69"/>
      <c r="R65" s="69"/>
      <c r="S65" s="69"/>
      <c r="T65" s="145"/>
      <c r="U65" s="145"/>
    </row>
    <row r="66" spans="1:21" ht="18">
      <c r="A66" s="69"/>
      <c r="B66" s="69"/>
      <c r="C66" s="69">
        <v>25</v>
      </c>
      <c r="D66" s="69" t="s">
        <v>122</v>
      </c>
      <c r="E66" s="69"/>
      <c r="F66" s="69"/>
      <c r="G66" s="69"/>
      <c r="H66" s="69"/>
      <c r="I66" s="69"/>
      <c r="J66" s="69"/>
      <c r="K66" s="69"/>
      <c r="L66" s="69"/>
      <c r="M66" s="69"/>
      <c r="N66" s="69"/>
      <c r="O66" s="69"/>
      <c r="P66" s="69"/>
      <c r="Q66" s="69"/>
      <c r="R66" s="69"/>
      <c r="S66" s="69"/>
      <c r="T66" s="145"/>
      <c r="U66" s="145"/>
    </row>
    <row r="67" spans="1:21" ht="18">
      <c r="A67" s="69"/>
      <c r="B67" s="69"/>
      <c r="C67" s="69">
        <v>40</v>
      </c>
      <c r="D67" s="69" t="s">
        <v>123</v>
      </c>
      <c r="E67" s="69"/>
      <c r="F67" s="69"/>
      <c r="G67" s="69"/>
      <c r="H67" s="69"/>
      <c r="I67" s="69"/>
      <c r="J67" s="69"/>
      <c r="K67" s="69"/>
      <c r="L67" s="69"/>
      <c r="M67" s="69"/>
      <c r="N67" s="69"/>
      <c r="O67" s="69"/>
      <c r="P67" s="69"/>
      <c r="Q67" s="69"/>
      <c r="R67" s="69"/>
      <c r="S67" s="69"/>
      <c r="T67" s="145"/>
      <c r="U67" s="145"/>
    </row>
    <row r="68" spans="1:21" ht="18">
      <c r="A68" s="69"/>
      <c r="B68" s="69"/>
      <c r="C68" s="69" t="s">
        <v>124</v>
      </c>
      <c r="D68" s="69" t="s">
        <v>126</v>
      </c>
      <c r="E68" s="69"/>
      <c r="F68" s="69"/>
      <c r="G68" s="69"/>
      <c r="H68" s="69"/>
      <c r="I68" s="69"/>
      <c r="J68" s="69"/>
      <c r="K68" s="69"/>
      <c r="L68" s="69"/>
      <c r="M68" s="69"/>
      <c r="N68" s="69"/>
      <c r="O68" s="69"/>
      <c r="P68" s="69"/>
      <c r="Q68" s="69"/>
      <c r="R68" s="69"/>
      <c r="S68" s="69" t="s">
        <v>124</v>
      </c>
      <c r="T68" s="145" t="s">
        <v>174</v>
      </c>
      <c r="U68" s="145" t="s">
        <v>124</v>
      </c>
    </row>
    <row r="69" spans="1:21" ht="18">
      <c r="A69" s="69"/>
      <c r="B69" s="69"/>
      <c r="C69" s="69">
        <v>20</v>
      </c>
      <c r="D69" s="69" t="s">
        <v>127</v>
      </c>
      <c r="E69" s="69"/>
      <c r="F69" s="69"/>
      <c r="G69" s="69"/>
      <c r="H69" s="69"/>
      <c r="I69" s="69"/>
      <c r="J69" s="69"/>
      <c r="K69" s="69"/>
      <c r="L69" s="69"/>
      <c r="M69" s="69"/>
      <c r="N69" s="69"/>
      <c r="O69" s="69"/>
      <c r="P69" s="69"/>
      <c r="Q69" s="69"/>
      <c r="R69" s="69"/>
      <c r="S69" s="69"/>
      <c r="T69" s="145"/>
      <c r="U69" s="145"/>
    </row>
    <row r="70" spans="1:21" ht="18">
      <c r="A70" s="69"/>
      <c r="B70" s="69"/>
      <c r="C70" s="69">
        <v>25</v>
      </c>
      <c r="D70" s="69" t="s">
        <v>128</v>
      </c>
      <c r="E70" s="69"/>
      <c r="F70" s="69"/>
      <c r="G70" s="69"/>
      <c r="H70" s="69"/>
      <c r="I70" s="69"/>
      <c r="J70" s="69"/>
      <c r="K70" s="69"/>
      <c r="L70" s="69"/>
      <c r="M70" s="69"/>
      <c r="N70" s="69"/>
      <c r="O70" s="69"/>
      <c r="P70" s="69"/>
      <c r="Q70" s="69"/>
      <c r="R70" s="69"/>
      <c r="S70" s="69"/>
      <c r="T70" s="145"/>
      <c r="U70" s="145"/>
    </row>
    <row r="71" spans="1:21" ht="18">
      <c r="A71" s="69"/>
      <c r="B71" s="69"/>
      <c r="C71" s="69">
        <v>40</v>
      </c>
      <c r="D71" s="69" t="s">
        <v>129</v>
      </c>
      <c r="E71" s="69"/>
      <c r="F71" s="69"/>
      <c r="G71" s="69"/>
      <c r="H71" s="69"/>
      <c r="I71" s="69"/>
      <c r="J71" s="69"/>
      <c r="K71" s="69"/>
      <c r="L71" s="69"/>
      <c r="M71" s="69"/>
      <c r="N71" s="69"/>
      <c r="O71" s="69"/>
      <c r="P71" s="69"/>
      <c r="Q71" s="69"/>
      <c r="R71" s="69"/>
      <c r="S71" s="69"/>
      <c r="T71" s="145"/>
      <c r="U71" s="145"/>
    </row>
    <row r="72" spans="1:21" ht="18">
      <c r="A72" s="69"/>
      <c r="B72" s="69"/>
      <c r="C72" s="69">
        <v>50</v>
      </c>
      <c r="D72" s="69" t="s">
        <v>130</v>
      </c>
      <c r="E72" s="69"/>
      <c r="F72" s="69"/>
      <c r="G72" s="69"/>
      <c r="H72" s="69"/>
      <c r="I72" s="69"/>
      <c r="J72" s="69"/>
      <c r="K72" s="69"/>
      <c r="L72" s="69"/>
      <c r="M72" s="69"/>
      <c r="N72" s="69"/>
      <c r="O72" s="69"/>
      <c r="P72" s="69"/>
      <c r="Q72" s="69"/>
      <c r="R72" s="69"/>
      <c r="S72" s="69"/>
      <c r="T72" s="145"/>
      <c r="U72" s="145"/>
    </row>
    <row r="73" spans="1:21" ht="18">
      <c r="A73" s="69"/>
      <c r="B73" s="69"/>
      <c r="C73" s="69">
        <v>65</v>
      </c>
      <c r="D73" s="69" t="s">
        <v>131</v>
      </c>
      <c r="E73" s="69"/>
      <c r="F73" s="69"/>
      <c r="G73" s="69"/>
      <c r="H73" s="69"/>
      <c r="I73" s="69"/>
      <c r="J73" s="69"/>
      <c r="K73" s="69"/>
      <c r="L73" s="69"/>
      <c r="M73" s="69"/>
      <c r="N73" s="69"/>
      <c r="O73" s="69"/>
      <c r="P73" s="69"/>
      <c r="Q73" s="69"/>
      <c r="R73" s="69"/>
      <c r="S73" s="69"/>
      <c r="T73" s="145"/>
      <c r="U73" s="145"/>
    </row>
    <row r="74" spans="1:21" ht="18">
      <c r="A74" s="69"/>
      <c r="B74" s="69"/>
      <c r="C74" s="69">
        <v>80</v>
      </c>
      <c r="D74" s="69" t="s">
        <v>132</v>
      </c>
      <c r="E74" s="69"/>
      <c r="F74" s="69"/>
      <c r="G74" s="69"/>
      <c r="H74" s="69"/>
      <c r="I74" s="69"/>
      <c r="J74" s="69"/>
      <c r="K74" s="69"/>
      <c r="L74" s="69"/>
      <c r="M74" s="69"/>
      <c r="N74" s="69"/>
      <c r="O74" s="69"/>
      <c r="P74" s="69"/>
      <c r="Q74" s="69"/>
      <c r="R74" s="69"/>
      <c r="S74" s="69"/>
      <c r="T74" s="145"/>
      <c r="U74" s="145"/>
    </row>
    <row r="75" spans="1:21" ht="18">
      <c r="A75" s="69"/>
      <c r="B75" s="69"/>
      <c r="C75" s="69">
        <v>100</v>
      </c>
      <c r="D75" s="69" t="s">
        <v>133</v>
      </c>
      <c r="E75" s="69"/>
      <c r="F75" s="69"/>
      <c r="G75" s="69"/>
      <c r="H75" s="69"/>
      <c r="I75" s="69"/>
      <c r="J75" s="69"/>
      <c r="K75" s="69"/>
      <c r="L75" s="69"/>
      <c r="M75" s="69"/>
      <c r="N75" s="69"/>
      <c r="O75" s="69"/>
      <c r="P75" s="69"/>
      <c r="Q75" s="69"/>
      <c r="R75" s="69"/>
      <c r="S75" s="69"/>
      <c r="T75" s="145"/>
      <c r="U75" s="145"/>
    </row>
    <row r="76" spans="1:21" ht="18">
      <c r="A76" s="69"/>
      <c r="B76" s="69"/>
      <c r="C76" s="69">
        <v>150</v>
      </c>
      <c r="D76" s="69" t="s">
        <v>134</v>
      </c>
      <c r="E76" s="69"/>
      <c r="F76" s="69"/>
      <c r="G76" s="69"/>
      <c r="H76" s="69"/>
      <c r="I76" s="69"/>
      <c r="J76" s="69"/>
      <c r="K76" s="69"/>
      <c r="L76" s="69"/>
      <c r="M76" s="69"/>
      <c r="N76" s="69"/>
      <c r="O76" s="69"/>
      <c r="P76" s="69"/>
      <c r="Q76" s="69"/>
      <c r="R76" s="69"/>
      <c r="S76" s="69"/>
      <c r="T76" s="145"/>
      <c r="U76" s="145"/>
    </row>
    <row r="77" spans="1:21" ht="18">
      <c r="A77" s="69"/>
      <c r="B77" s="69"/>
      <c r="C77" s="69" t="s">
        <v>145</v>
      </c>
      <c r="D77" s="69" t="s">
        <v>146</v>
      </c>
      <c r="E77" s="69"/>
      <c r="F77" s="69"/>
      <c r="G77" s="69"/>
      <c r="H77" s="69"/>
      <c r="I77" s="69"/>
      <c r="J77" s="69"/>
      <c r="K77" s="69"/>
      <c r="L77" s="69"/>
      <c r="M77" s="69"/>
      <c r="N77" s="69"/>
      <c r="O77" s="69"/>
      <c r="P77" s="69"/>
      <c r="Q77" s="69"/>
      <c r="R77" s="69"/>
      <c r="S77" s="69" t="s">
        <v>149</v>
      </c>
      <c r="T77" s="145" t="s">
        <v>174</v>
      </c>
      <c r="U77" s="145" t="s">
        <v>145</v>
      </c>
    </row>
    <row r="78" spans="1:21" ht="18">
      <c r="A78" s="69"/>
      <c r="B78" s="69"/>
      <c r="C78" s="69" t="s">
        <v>149</v>
      </c>
      <c r="D78" s="69" t="s">
        <v>154</v>
      </c>
      <c r="E78" s="69"/>
      <c r="F78" s="69"/>
      <c r="G78" s="69"/>
      <c r="H78" s="69"/>
      <c r="I78" s="69"/>
      <c r="J78" s="69"/>
      <c r="K78" s="69"/>
      <c r="L78" s="69"/>
      <c r="M78" s="69"/>
      <c r="N78" s="69"/>
      <c r="O78" s="69"/>
      <c r="P78" s="69"/>
      <c r="Q78" s="69"/>
      <c r="R78" s="69"/>
      <c r="S78" s="69" t="s">
        <v>148</v>
      </c>
      <c r="T78" s="145"/>
      <c r="U78" s="145"/>
    </row>
    <row r="79" spans="1:21" ht="18">
      <c r="A79" s="69"/>
      <c r="B79" s="69"/>
      <c r="C79" s="69" t="s">
        <v>148</v>
      </c>
      <c r="D79" s="69" t="s">
        <v>155</v>
      </c>
      <c r="E79" s="69"/>
      <c r="F79" s="69"/>
      <c r="G79" s="69"/>
      <c r="H79" s="69"/>
      <c r="I79" s="69"/>
      <c r="J79" s="69"/>
      <c r="K79" s="69"/>
      <c r="L79" s="69"/>
      <c r="M79" s="69"/>
      <c r="N79" s="69"/>
      <c r="O79" s="69"/>
      <c r="P79" s="69"/>
      <c r="Q79" s="69"/>
      <c r="R79" s="69"/>
      <c r="S79" s="69" t="s">
        <v>150</v>
      </c>
      <c r="T79" s="145"/>
      <c r="U79" s="145"/>
    </row>
    <row r="80" spans="1:21" ht="18">
      <c r="A80" s="69"/>
      <c r="B80" s="69"/>
      <c r="C80" s="69" t="s">
        <v>150</v>
      </c>
      <c r="D80" s="69" t="s">
        <v>156</v>
      </c>
      <c r="E80" s="69"/>
      <c r="F80" s="69"/>
      <c r="G80" s="69"/>
      <c r="H80" s="69"/>
      <c r="I80" s="69"/>
      <c r="J80" s="69"/>
      <c r="K80" s="69"/>
      <c r="L80" s="69"/>
      <c r="M80" s="69"/>
      <c r="N80" s="69"/>
      <c r="O80" s="69"/>
      <c r="P80" s="69"/>
      <c r="Q80" s="69"/>
      <c r="R80" s="69"/>
      <c r="S80" s="69" t="s">
        <v>151</v>
      </c>
      <c r="T80" s="145"/>
      <c r="U80" s="145"/>
    </row>
    <row r="81" spans="1:21" ht="18">
      <c r="A81" s="69"/>
      <c r="B81" s="69"/>
      <c r="C81" s="69" t="s">
        <v>151</v>
      </c>
      <c r="D81" s="69" t="s">
        <v>157</v>
      </c>
      <c r="E81" s="69"/>
      <c r="F81" s="69"/>
      <c r="G81" s="69"/>
      <c r="H81" s="69"/>
      <c r="I81" s="69"/>
      <c r="J81" s="69"/>
      <c r="K81" s="69"/>
      <c r="L81" s="69"/>
      <c r="M81" s="69"/>
      <c r="N81" s="69"/>
      <c r="O81" s="69"/>
      <c r="P81" s="69"/>
      <c r="Q81" s="69"/>
      <c r="R81" s="69"/>
      <c r="S81" s="69" t="s">
        <v>152</v>
      </c>
      <c r="T81" s="145"/>
      <c r="U81" s="145"/>
    </row>
    <row r="82" spans="1:21" ht="18">
      <c r="A82" s="69"/>
      <c r="B82" s="69"/>
      <c r="C82" s="69" t="s">
        <v>152</v>
      </c>
      <c r="D82" s="69" t="s">
        <v>158</v>
      </c>
      <c r="E82" s="69"/>
      <c r="F82" s="69"/>
      <c r="G82" s="69"/>
      <c r="H82" s="69"/>
      <c r="I82" s="69"/>
      <c r="J82" s="69"/>
      <c r="K82" s="69"/>
      <c r="L82" s="69"/>
      <c r="M82" s="69"/>
      <c r="N82" s="69"/>
      <c r="O82" s="69"/>
      <c r="P82" s="69"/>
      <c r="Q82" s="69"/>
      <c r="R82" s="69"/>
      <c r="S82" s="69" t="s">
        <v>153</v>
      </c>
      <c r="T82" s="145"/>
      <c r="U82" s="145"/>
    </row>
    <row r="83" spans="1:21" ht="18">
      <c r="A83" s="69"/>
      <c r="B83" s="69"/>
      <c r="C83" s="69" t="s">
        <v>153</v>
      </c>
      <c r="D83" s="69" t="s">
        <v>159</v>
      </c>
      <c r="E83" s="69"/>
      <c r="F83" s="69"/>
      <c r="G83" s="69"/>
      <c r="H83" s="69"/>
      <c r="I83" s="69"/>
      <c r="J83" s="69"/>
      <c r="K83" s="69"/>
      <c r="L83" s="69"/>
      <c r="M83" s="69"/>
      <c r="N83" s="69"/>
      <c r="O83" s="69"/>
      <c r="P83" s="69"/>
      <c r="Q83" s="69"/>
      <c r="R83" s="69"/>
      <c r="S83" s="69"/>
      <c r="T83" s="145"/>
      <c r="U83" s="145"/>
    </row>
    <row r="84" spans="1:21" ht="18">
      <c r="A84" s="69"/>
      <c r="B84" s="69"/>
      <c r="C84" s="69" t="s">
        <v>145</v>
      </c>
      <c r="D84" s="69" t="s">
        <v>146</v>
      </c>
      <c r="E84" s="69"/>
      <c r="F84" s="69"/>
      <c r="G84" s="69"/>
      <c r="H84" s="69"/>
      <c r="I84" s="69"/>
      <c r="J84" s="69"/>
      <c r="K84" s="69"/>
      <c r="L84" s="69"/>
      <c r="M84" s="69"/>
      <c r="N84" s="69"/>
      <c r="O84" s="69"/>
      <c r="P84" s="69"/>
      <c r="Q84" s="69"/>
      <c r="R84" s="69"/>
      <c r="S84" s="69" t="s">
        <v>160</v>
      </c>
      <c r="T84" s="145" t="s">
        <v>174</v>
      </c>
      <c r="U84" s="145" t="s">
        <v>145</v>
      </c>
    </row>
    <row r="85" spans="1:21" ht="18">
      <c r="A85" s="69"/>
      <c r="B85" s="69"/>
      <c r="C85" s="69" t="s">
        <v>160</v>
      </c>
      <c r="D85" s="69" t="s">
        <v>165</v>
      </c>
      <c r="E85" s="69"/>
      <c r="F85" s="69"/>
      <c r="G85" s="69"/>
      <c r="H85" s="69"/>
      <c r="I85" s="69"/>
      <c r="J85" s="69"/>
      <c r="K85" s="69"/>
      <c r="L85" s="69"/>
      <c r="M85" s="69"/>
      <c r="N85" s="69"/>
      <c r="O85" s="69"/>
      <c r="P85" s="69"/>
      <c r="Q85" s="69"/>
      <c r="R85" s="69"/>
      <c r="S85" s="69" t="s">
        <v>161</v>
      </c>
      <c r="T85" s="145"/>
      <c r="U85" s="145"/>
    </row>
    <row r="86" spans="1:21" ht="18">
      <c r="A86" s="69"/>
      <c r="B86" s="69"/>
      <c r="C86" s="69" t="s">
        <v>161</v>
      </c>
      <c r="D86" s="69" t="s">
        <v>166</v>
      </c>
      <c r="E86" s="69"/>
      <c r="F86" s="69"/>
      <c r="G86" s="69"/>
      <c r="H86" s="69"/>
      <c r="I86" s="69"/>
      <c r="J86" s="69"/>
      <c r="K86" s="69"/>
      <c r="L86" s="69"/>
      <c r="M86" s="69"/>
      <c r="N86" s="69"/>
      <c r="O86" s="69"/>
      <c r="P86" s="69"/>
      <c r="Q86" s="69"/>
      <c r="R86" s="69"/>
      <c r="S86" s="69" t="s">
        <v>163</v>
      </c>
      <c r="T86" s="145"/>
      <c r="U86" s="145"/>
    </row>
    <row r="87" spans="1:21" ht="18">
      <c r="A87" s="69"/>
      <c r="B87" s="69"/>
      <c r="C87" s="69" t="s">
        <v>163</v>
      </c>
      <c r="D87" s="69" t="s">
        <v>167</v>
      </c>
      <c r="E87" s="69"/>
      <c r="F87" s="69"/>
      <c r="G87" s="69"/>
      <c r="H87" s="69"/>
      <c r="I87" s="69"/>
      <c r="J87" s="69"/>
      <c r="K87" s="69"/>
      <c r="L87" s="69"/>
      <c r="M87" s="69"/>
      <c r="N87" s="69"/>
      <c r="O87" s="69"/>
      <c r="P87" s="69"/>
      <c r="Q87" s="69"/>
      <c r="R87" s="69"/>
      <c r="S87" s="69" t="s">
        <v>162</v>
      </c>
      <c r="T87" s="145"/>
      <c r="U87" s="145"/>
    </row>
    <row r="88" spans="1:21" ht="18">
      <c r="A88" s="69"/>
      <c r="B88" s="69"/>
      <c r="C88" s="69" t="s">
        <v>162</v>
      </c>
      <c r="D88" s="69" t="s">
        <v>168</v>
      </c>
      <c r="E88" s="69"/>
      <c r="F88" s="69"/>
      <c r="G88" s="69"/>
      <c r="H88" s="69"/>
      <c r="I88" s="69"/>
      <c r="J88" s="69"/>
      <c r="K88" s="69"/>
      <c r="L88" s="69"/>
      <c r="M88" s="69"/>
      <c r="N88" s="69"/>
      <c r="O88" s="69"/>
      <c r="P88" s="69"/>
      <c r="Q88" s="69"/>
      <c r="R88" s="69"/>
      <c r="S88" s="69" t="s">
        <v>164</v>
      </c>
      <c r="T88" s="145"/>
      <c r="U88" s="145"/>
    </row>
    <row r="89" spans="1:21" ht="18">
      <c r="A89" s="69"/>
      <c r="B89" s="69"/>
      <c r="C89" s="69" t="s">
        <v>164</v>
      </c>
      <c r="D89" s="69" t="s">
        <v>131</v>
      </c>
      <c r="E89" s="69"/>
      <c r="F89" s="69"/>
      <c r="G89" s="69"/>
      <c r="H89" s="69"/>
      <c r="I89" s="69"/>
      <c r="J89" s="69"/>
      <c r="K89" s="69"/>
      <c r="L89" s="69"/>
      <c r="M89" s="69"/>
      <c r="N89" s="69"/>
      <c r="O89" s="69"/>
      <c r="P89" s="69"/>
      <c r="Q89" s="69"/>
      <c r="R89" s="69"/>
      <c r="S89" s="69"/>
      <c r="T89" s="145"/>
      <c r="U89" s="145"/>
    </row>
    <row r="90" spans="1:21" ht="18">
      <c r="A90" s="69"/>
      <c r="B90" s="69"/>
      <c r="C90" s="69" t="s">
        <v>145</v>
      </c>
      <c r="D90" s="69" t="s">
        <v>146</v>
      </c>
      <c r="E90" s="69"/>
      <c r="F90" s="69"/>
      <c r="G90" s="69"/>
      <c r="H90" s="69"/>
      <c r="I90" s="69"/>
      <c r="J90" s="69"/>
      <c r="K90" s="69"/>
      <c r="L90" s="69"/>
      <c r="M90" s="69"/>
      <c r="N90" s="69"/>
      <c r="O90" s="69"/>
      <c r="P90" s="69"/>
      <c r="Q90" s="69"/>
      <c r="R90" s="69"/>
      <c r="S90" s="69" t="s">
        <v>169</v>
      </c>
      <c r="T90" s="145" t="s">
        <v>174</v>
      </c>
      <c r="U90" s="145" t="s">
        <v>145</v>
      </c>
    </row>
    <row r="91" spans="1:21" ht="18">
      <c r="A91" s="69"/>
      <c r="B91" s="69"/>
      <c r="C91" s="69" t="s">
        <v>169</v>
      </c>
      <c r="D91" s="69" t="s">
        <v>154</v>
      </c>
      <c r="E91" s="69"/>
      <c r="F91" s="69"/>
      <c r="G91" s="69"/>
      <c r="H91" s="69"/>
      <c r="I91" s="69"/>
      <c r="J91" s="69"/>
      <c r="K91" s="69"/>
      <c r="L91" s="69"/>
      <c r="M91" s="69"/>
      <c r="N91" s="69"/>
      <c r="O91" s="69"/>
      <c r="P91" s="69"/>
      <c r="Q91" s="69"/>
      <c r="R91" s="69"/>
      <c r="S91" s="69" t="s">
        <v>170</v>
      </c>
      <c r="T91" s="145"/>
      <c r="U91" s="145"/>
    </row>
    <row r="92" spans="1:21" ht="18">
      <c r="A92" s="69"/>
      <c r="B92" s="69"/>
      <c r="C92" s="69" t="s">
        <v>170</v>
      </c>
      <c r="D92" s="69" t="s">
        <v>155</v>
      </c>
      <c r="E92" s="69"/>
      <c r="F92" s="69"/>
      <c r="G92" s="69"/>
      <c r="H92" s="69"/>
      <c r="I92" s="69"/>
      <c r="J92" s="69"/>
      <c r="K92" s="69"/>
      <c r="L92" s="69"/>
      <c r="M92" s="69"/>
      <c r="N92" s="69"/>
      <c r="O92" s="69"/>
      <c r="P92" s="69"/>
      <c r="Q92" s="69"/>
      <c r="R92" s="69"/>
      <c r="S92" s="69" t="s">
        <v>171</v>
      </c>
      <c r="T92" s="145"/>
      <c r="U92" s="145"/>
    </row>
    <row r="93" spans="1:21" ht="18">
      <c r="A93" s="69"/>
      <c r="B93" s="69"/>
      <c r="C93" s="69" t="s">
        <v>171</v>
      </c>
      <c r="D93" s="69" t="s">
        <v>156</v>
      </c>
      <c r="E93" s="69"/>
      <c r="F93" s="69"/>
      <c r="G93" s="69"/>
      <c r="H93" s="69"/>
      <c r="I93" s="69"/>
      <c r="J93" s="69"/>
      <c r="K93" s="69"/>
      <c r="L93" s="69"/>
      <c r="M93" s="69"/>
      <c r="N93" s="69"/>
      <c r="O93" s="69"/>
      <c r="P93" s="69"/>
      <c r="Q93" s="69"/>
      <c r="R93" s="69"/>
      <c r="S93" s="69" t="s">
        <v>172</v>
      </c>
      <c r="T93" s="145"/>
      <c r="U93" s="145"/>
    </row>
    <row r="94" spans="1:21" ht="18">
      <c r="A94" s="69"/>
      <c r="B94" s="69"/>
      <c r="C94" s="69" t="s">
        <v>172</v>
      </c>
      <c r="D94" s="69" t="s">
        <v>173</v>
      </c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69"/>
      <c r="T94" s="145"/>
      <c r="U94" s="145"/>
    </row>
    <row r="95" spans="1:21" ht="18">
      <c r="A95" s="69"/>
      <c r="B95" s="69"/>
      <c r="C95" s="69" t="s">
        <v>145</v>
      </c>
      <c r="D95" s="69" t="s">
        <v>146</v>
      </c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 t="s">
        <v>175</v>
      </c>
      <c r="T95" s="145" t="s">
        <v>174</v>
      </c>
      <c r="U95" s="145" t="s">
        <v>145</v>
      </c>
    </row>
    <row r="96" spans="1:21" ht="18">
      <c r="A96" s="69"/>
      <c r="B96" s="69"/>
      <c r="C96" s="69" t="s">
        <v>175</v>
      </c>
      <c r="D96" s="69" t="s">
        <v>179</v>
      </c>
      <c r="E96" s="69"/>
      <c r="F96" s="69"/>
      <c r="G96" s="69"/>
      <c r="H96" s="69"/>
      <c r="I96" s="69"/>
      <c r="J96" s="69"/>
      <c r="K96" s="69"/>
      <c r="L96" s="69"/>
      <c r="M96" s="69"/>
      <c r="N96" s="69"/>
      <c r="O96" s="69"/>
      <c r="P96" s="69"/>
      <c r="Q96" s="69"/>
      <c r="R96" s="69"/>
      <c r="S96" s="69" t="s">
        <v>176</v>
      </c>
      <c r="T96" s="145"/>
      <c r="U96" s="145"/>
    </row>
    <row r="97" spans="1:21" ht="18">
      <c r="A97" s="69"/>
      <c r="B97" s="69"/>
      <c r="C97" s="69" t="s">
        <v>176</v>
      </c>
      <c r="D97" s="69" t="s">
        <v>180</v>
      </c>
      <c r="E97" s="69"/>
      <c r="F97" s="69"/>
      <c r="G97" s="69"/>
      <c r="H97" s="69"/>
      <c r="I97" s="69"/>
      <c r="J97" s="69"/>
      <c r="K97" s="69"/>
      <c r="L97" s="69"/>
      <c r="M97" s="69"/>
      <c r="N97" s="69"/>
      <c r="O97" s="69"/>
      <c r="P97" s="69"/>
      <c r="Q97" s="69"/>
      <c r="R97" s="69"/>
      <c r="S97" s="69" t="s">
        <v>177</v>
      </c>
      <c r="T97" s="145"/>
      <c r="U97" s="145"/>
    </row>
    <row r="98" spans="1:21" ht="18">
      <c r="A98" s="69"/>
      <c r="B98" s="69"/>
      <c r="C98" s="69" t="s">
        <v>177</v>
      </c>
      <c r="D98" s="69" t="s">
        <v>181</v>
      </c>
      <c r="E98" s="69"/>
      <c r="F98" s="69"/>
      <c r="G98" s="69"/>
      <c r="H98" s="69"/>
      <c r="I98" s="69"/>
      <c r="J98" s="69"/>
      <c r="K98" s="69"/>
      <c r="L98" s="69"/>
      <c r="M98" s="69"/>
      <c r="N98" s="69"/>
      <c r="O98" s="69"/>
      <c r="P98" s="69"/>
      <c r="Q98" s="69"/>
      <c r="R98" s="69"/>
      <c r="S98" s="69" t="s">
        <v>178</v>
      </c>
      <c r="T98" s="145"/>
      <c r="U98" s="145"/>
    </row>
    <row r="99" spans="1:21" ht="18">
      <c r="A99" s="69"/>
      <c r="B99" s="69"/>
      <c r="C99" s="69" t="s">
        <v>178</v>
      </c>
      <c r="D99" s="69" t="s">
        <v>157</v>
      </c>
      <c r="E99" s="69"/>
      <c r="F99" s="69"/>
      <c r="G99" s="69"/>
      <c r="H99" s="69"/>
      <c r="I99" s="69"/>
      <c r="J99" s="69"/>
      <c r="K99" s="69"/>
      <c r="L99" s="69"/>
      <c r="M99" s="69"/>
      <c r="N99" s="69"/>
      <c r="O99" s="69"/>
      <c r="P99" s="69"/>
      <c r="Q99" s="69"/>
      <c r="R99" s="69"/>
      <c r="S99" s="69"/>
      <c r="T99" s="145"/>
      <c r="U99" s="145"/>
    </row>
    <row r="100" spans="1:21" ht="12.75" customHeight="1">
      <c r="A100" s="69"/>
      <c r="B100" s="69"/>
      <c r="C100" s="69" t="s">
        <v>205</v>
      </c>
      <c r="D100" s="69" t="s">
        <v>182</v>
      </c>
      <c r="E100" s="69"/>
      <c r="F100" s="69"/>
      <c r="G100" s="69"/>
      <c r="H100" s="69"/>
      <c r="I100" s="69"/>
      <c r="J100" s="69"/>
      <c r="K100" s="69"/>
      <c r="L100" s="69"/>
      <c r="M100" s="69"/>
      <c r="N100" s="69"/>
      <c r="O100" s="69"/>
      <c r="P100" s="69"/>
      <c r="Q100" s="69"/>
      <c r="R100" s="69"/>
      <c r="S100" s="69" t="s">
        <v>183</v>
      </c>
      <c r="T100" s="145" t="s">
        <v>206</v>
      </c>
      <c r="U100" s="145" t="s">
        <v>205</v>
      </c>
    </row>
    <row r="101" spans="1:21" ht="18">
      <c r="A101" s="69"/>
      <c r="B101" s="69"/>
      <c r="C101" s="69">
        <v>10</v>
      </c>
      <c r="D101" s="69" t="s">
        <v>193</v>
      </c>
      <c r="E101" s="69"/>
      <c r="F101" s="69"/>
      <c r="G101" s="69"/>
      <c r="H101" s="69"/>
      <c r="I101" s="69"/>
      <c r="J101" s="69"/>
      <c r="K101" s="69"/>
      <c r="L101" s="69"/>
      <c r="M101" s="69"/>
      <c r="N101" s="69"/>
      <c r="O101" s="69"/>
      <c r="P101" s="69"/>
      <c r="Q101" s="69"/>
      <c r="R101" s="69"/>
      <c r="S101" s="69" t="s">
        <v>184</v>
      </c>
      <c r="T101" s="145"/>
      <c r="U101" s="145"/>
    </row>
    <row r="102" spans="1:21" ht="18">
      <c r="A102" s="69"/>
      <c r="B102" s="69"/>
      <c r="C102" s="69">
        <v>15</v>
      </c>
      <c r="D102" s="69" t="s">
        <v>194</v>
      </c>
      <c r="E102" s="69"/>
      <c r="F102" s="69"/>
      <c r="G102" s="69"/>
      <c r="H102" s="69"/>
      <c r="I102" s="69"/>
      <c r="J102" s="69"/>
      <c r="K102" s="69"/>
      <c r="L102" s="69"/>
      <c r="M102" s="69"/>
      <c r="N102" s="69"/>
      <c r="O102" s="69"/>
      <c r="P102" s="69"/>
      <c r="Q102" s="69"/>
      <c r="R102" s="69"/>
      <c r="S102" s="69" t="s">
        <v>185</v>
      </c>
      <c r="T102" s="145"/>
      <c r="U102" s="145"/>
    </row>
    <row r="103" spans="1:21" ht="18">
      <c r="A103" s="69"/>
      <c r="B103" s="69"/>
      <c r="C103" s="69">
        <v>20</v>
      </c>
      <c r="D103" s="69" t="s">
        <v>195</v>
      </c>
      <c r="E103" s="69"/>
      <c r="F103" s="69"/>
      <c r="G103" s="69"/>
      <c r="H103" s="69"/>
      <c r="I103" s="69"/>
      <c r="J103" s="69"/>
      <c r="K103" s="69"/>
      <c r="L103" s="69"/>
      <c r="M103" s="69"/>
      <c r="N103" s="69"/>
      <c r="O103" s="69"/>
      <c r="P103" s="69"/>
      <c r="Q103" s="69"/>
      <c r="R103" s="69"/>
      <c r="S103" s="69" t="s">
        <v>186</v>
      </c>
      <c r="T103" s="145"/>
      <c r="U103" s="145"/>
    </row>
    <row r="104" spans="1:21" ht="18">
      <c r="A104" s="69"/>
      <c r="B104" s="69"/>
      <c r="C104" s="69">
        <v>25</v>
      </c>
      <c r="D104" s="69" t="s">
        <v>196</v>
      </c>
      <c r="E104" s="69"/>
      <c r="F104" s="69"/>
      <c r="G104" s="69"/>
      <c r="H104" s="69"/>
      <c r="I104" s="69"/>
      <c r="J104" s="69"/>
      <c r="K104" s="69"/>
      <c r="L104" s="69"/>
      <c r="M104" s="69"/>
      <c r="N104" s="69"/>
      <c r="O104" s="69"/>
      <c r="P104" s="69"/>
      <c r="Q104" s="69"/>
      <c r="R104" s="69"/>
      <c r="S104" s="69" t="s">
        <v>187</v>
      </c>
      <c r="T104" s="145"/>
      <c r="U104" s="145"/>
    </row>
    <row r="105" spans="1:21" ht="12.75" customHeight="1">
      <c r="A105" s="69"/>
      <c r="B105" s="69"/>
      <c r="C105" s="69">
        <v>32</v>
      </c>
      <c r="D105" s="69" t="s">
        <v>197</v>
      </c>
      <c r="E105" s="69"/>
      <c r="F105" s="69"/>
      <c r="G105" s="69"/>
      <c r="H105" s="69"/>
      <c r="I105" s="69"/>
      <c r="J105" s="69"/>
      <c r="K105" s="69"/>
      <c r="L105" s="69"/>
      <c r="M105" s="69"/>
      <c r="N105" s="69"/>
      <c r="O105" s="69"/>
      <c r="P105" s="69"/>
      <c r="Q105" s="69"/>
      <c r="R105" s="69"/>
      <c r="S105" s="69" t="s">
        <v>188</v>
      </c>
      <c r="T105" s="145"/>
      <c r="U105" s="145"/>
    </row>
    <row r="106" spans="1:21" ht="18">
      <c r="A106" s="69"/>
      <c r="B106" s="69"/>
      <c r="C106" s="69">
        <v>40</v>
      </c>
      <c r="D106" s="69" t="s">
        <v>198</v>
      </c>
      <c r="E106" s="69"/>
      <c r="F106" s="69"/>
      <c r="G106" s="69"/>
      <c r="H106" s="69"/>
      <c r="I106" s="69"/>
      <c r="J106" s="69"/>
      <c r="K106" s="69"/>
      <c r="L106" s="69"/>
      <c r="M106" s="69"/>
      <c r="N106" s="69"/>
      <c r="O106" s="69"/>
      <c r="P106" s="69"/>
      <c r="Q106" s="69"/>
      <c r="R106" s="69"/>
      <c r="S106" s="69" t="s">
        <v>189</v>
      </c>
      <c r="T106" s="145"/>
      <c r="U106" s="145"/>
    </row>
    <row r="107" spans="1:21" ht="18">
      <c r="A107" s="69"/>
      <c r="B107" s="69"/>
      <c r="C107" s="69">
        <v>50</v>
      </c>
      <c r="D107" s="69" t="s">
        <v>199</v>
      </c>
      <c r="E107" s="69"/>
      <c r="F107" s="69"/>
      <c r="G107" s="69"/>
      <c r="H107" s="69"/>
      <c r="I107" s="69"/>
      <c r="J107" s="69"/>
      <c r="K107" s="69"/>
      <c r="L107" s="69"/>
      <c r="M107" s="69"/>
      <c r="N107" s="69"/>
      <c r="O107" s="69"/>
      <c r="P107" s="69"/>
      <c r="Q107" s="69"/>
      <c r="R107" s="69"/>
      <c r="S107" s="69" t="s">
        <v>190</v>
      </c>
      <c r="T107" s="145"/>
      <c r="U107" s="145"/>
    </row>
    <row r="108" spans="1:21" ht="18">
      <c r="A108" s="69"/>
      <c r="B108" s="69"/>
      <c r="C108" s="69">
        <v>65</v>
      </c>
      <c r="D108" s="69" t="s">
        <v>200</v>
      </c>
      <c r="E108" s="69"/>
      <c r="F108" s="69"/>
      <c r="G108" s="69"/>
      <c r="H108" s="69"/>
      <c r="I108" s="69"/>
      <c r="J108" s="69"/>
      <c r="K108" s="69"/>
      <c r="L108" s="69"/>
      <c r="M108" s="69"/>
      <c r="N108" s="69"/>
      <c r="O108" s="69"/>
      <c r="P108" s="69"/>
      <c r="Q108" s="69"/>
      <c r="R108" s="69"/>
      <c r="S108" s="69" t="s">
        <v>191</v>
      </c>
      <c r="T108" s="145"/>
      <c r="U108" s="145"/>
    </row>
    <row r="109" spans="1:21" ht="18">
      <c r="A109" s="69"/>
      <c r="B109" s="69"/>
      <c r="C109" s="69">
        <v>80</v>
      </c>
      <c r="D109" s="69" t="s">
        <v>201</v>
      </c>
      <c r="E109" s="69"/>
      <c r="F109" s="69"/>
      <c r="G109" s="69"/>
      <c r="H109" s="69"/>
      <c r="I109" s="69"/>
      <c r="J109" s="69"/>
      <c r="K109" s="69"/>
      <c r="L109" s="69"/>
      <c r="M109" s="69"/>
      <c r="N109" s="69"/>
      <c r="O109" s="69"/>
      <c r="P109" s="69"/>
      <c r="Q109" s="69"/>
      <c r="R109" s="69"/>
      <c r="S109" s="69" t="s">
        <v>192</v>
      </c>
      <c r="T109" s="145"/>
      <c r="U109" s="145"/>
    </row>
    <row r="110" spans="1:21" ht="18">
      <c r="A110" s="69"/>
      <c r="B110" s="69"/>
      <c r="C110" s="69">
        <v>100</v>
      </c>
      <c r="D110" s="69" t="s">
        <v>202</v>
      </c>
      <c r="E110" s="69"/>
      <c r="F110" s="69"/>
      <c r="G110" s="69"/>
      <c r="H110" s="69"/>
      <c r="I110" s="69"/>
      <c r="J110" s="69"/>
      <c r="K110" s="69"/>
      <c r="L110" s="69"/>
      <c r="M110" s="69"/>
      <c r="N110" s="69"/>
      <c r="O110" s="69"/>
      <c r="P110" s="69"/>
      <c r="Q110" s="69"/>
      <c r="R110" s="69"/>
      <c r="S110" s="69" t="s">
        <v>208</v>
      </c>
      <c r="T110" s="145"/>
      <c r="U110" s="145"/>
    </row>
    <row r="111" spans="1:21" ht="18">
      <c r="A111" s="69"/>
      <c r="B111" s="69"/>
      <c r="C111" s="69">
        <v>125</v>
      </c>
      <c r="D111" s="69" t="s">
        <v>203</v>
      </c>
      <c r="E111" s="69"/>
      <c r="F111" s="69"/>
      <c r="G111" s="69"/>
      <c r="H111" s="69"/>
      <c r="I111" s="69"/>
      <c r="J111" s="69"/>
      <c r="K111" s="69"/>
      <c r="L111" s="69"/>
      <c r="M111" s="69"/>
      <c r="N111" s="69"/>
      <c r="O111" s="69"/>
      <c r="P111" s="69"/>
      <c r="Q111" s="69"/>
      <c r="R111" s="69"/>
      <c r="S111" s="69" t="s">
        <v>209</v>
      </c>
      <c r="T111" s="145"/>
      <c r="U111" s="145"/>
    </row>
    <row r="112" spans="1:21" ht="18">
      <c r="A112" s="69"/>
      <c r="B112" s="69"/>
      <c r="C112" s="69">
        <v>150</v>
      </c>
      <c r="D112" s="69" t="s">
        <v>204</v>
      </c>
      <c r="E112" s="69"/>
      <c r="F112" s="69"/>
      <c r="G112" s="69"/>
      <c r="H112" s="69"/>
      <c r="I112" s="69"/>
      <c r="J112" s="69"/>
      <c r="K112" s="69"/>
      <c r="L112" s="69"/>
      <c r="M112" s="69"/>
      <c r="N112" s="69"/>
      <c r="O112" s="69"/>
      <c r="P112" s="69"/>
      <c r="Q112" s="69"/>
      <c r="R112" s="69"/>
      <c r="S112" s="69" t="s">
        <v>210</v>
      </c>
      <c r="T112" s="145"/>
      <c r="U112" s="145"/>
    </row>
    <row r="113" spans="1:21" ht="18">
      <c r="A113" s="69"/>
      <c r="B113" s="69"/>
      <c r="C113" s="92" t="s">
        <v>348</v>
      </c>
      <c r="D113" s="69"/>
      <c r="E113" s="69"/>
      <c r="F113" s="69"/>
      <c r="G113" s="69"/>
      <c r="H113" s="69"/>
      <c r="I113" s="69"/>
      <c r="J113" s="69"/>
      <c r="K113" s="69"/>
      <c r="L113" s="69"/>
      <c r="M113" s="69"/>
      <c r="N113" s="69"/>
      <c r="O113" s="69"/>
      <c r="P113" s="69"/>
      <c r="Q113" s="69"/>
      <c r="R113" s="69"/>
      <c r="S113" s="69" t="s">
        <v>211</v>
      </c>
      <c r="T113" s="145"/>
      <c r="U113" s="145"/>
    </row>
    <row r="114" spans="1:21" ht="18">
      <c r="A114" s="69"/>
      <c r="B114" s="69"/>
      <c r="C114" s="92" t="s">
        <v>348</v>
      </c>
      <c r="D114" s="69"/>
      <c r="E114" s="69"/>
      <c r="F114" s="69"/>
      <c r="G114" s="69"/>
      <c r="H114" s="69"/>
      <c r="I114" s="69"/>
      <c r="J114" s="69"/>
      <c r="K114" s="69"/>
      <c r="L114" s="69"/>
      <c r="M114" s="69"/>
      <c r="N114" s="69"/>
      <c r="O114" s="69"/>
      <c r="P114" s="69"/>
      <c r="Q114" s="69"/>
      <c r="R114" s="69"/>
      <c r="S114" s="69" t="s">
        <v>212</v>
      </c>
      <c r="T114" s="145"/>
      <c r="U114" s="145"/>
    </row>
    <row r="115" spans="1:21" ht="18">
      <c r="A115" s="69"/>
      <c r="B115" s="69"/>
      <c r="C115" s="69" t="s">
        <v>218</v>
      </c>
      <c r="D115" s="69" t="s">
        <v>229</v>
      </c>
      <c r="E115" s="69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69" t="s">
        <v>228</v>
      </c>
      <c r="T115" s="145" t="s">
        <v>174</v>
      </c>
      <c r="U115" s="145" t="s">
        <v>258</v>
      </c>
    </row>
    <row r="116" spans="1:21" ht="18">
      <c r="A116" s="69"/>
      <c r="B116" s="69"/>
      <c r="C116" s="69">
        <v>15</v>
      </c>
      <c r="D116" s="69" t="s">
        <v>230</v>
      </c>
      <c r="E116" s="69"/>
      <c r="F116" s="69"/>
      <c r="G116" s="69"/>
      <c r="H116" s="69"/>
      <c r="I116" s="69"/>
      <c r="J116" s="69"/>
      <c r="K116" s="69"/>
      <c r="L116" s="69"/>
      <c r="M116" s="69"/>
      <c r="N116" s="69"/>
      <c r="O116" s="69"/>
      <c r="P116" s="69"/>
      <c r="Q116" s="69"/>
      <c r="R116" s="69"/>
      <c r="S116" s="69"/>
      <c r="T116" s="145"/>
      <c r="U116" s="145"/>
    </row>
    <row r="117" spans="1:21" ht="18">
      <c r="A117" s="69"/>
      <c r="B117" s="69"/>
      <c r="C117" s="69">
        <v>25</v>
      </c>
      <c r="D117" s="69" t="s">
        <v>231</v>
      </c>
      <c r="E117" s="69"/>
      <c r="F117" s="69"/>
      <c r="G117" s="69"/>
      <c r="H117" s="69"/>
      <c r="I117" s="69"/>
      <c r="J117" s="69"/>
      <c r="K117" s="69"/>
      <c r="L117" s="69"/>
      <c r="M117" s="69"/>
      <c r="N117" s="69"/>
      <c r="O117" s="69"/>
      <c r="P117" s="69"/>
      <c r="Q117" s="69"/>
      <c r="R117" s="69"/>
      <c r="S117" s="69"/>
      <c r="T117" s="145"/>
      <c r="U117" s="145"/>
    </row>
    <row r="118" spans="1:21" ht="12.75" customHeight="1">
      <c r="A118" s="69"/>
      <c r="B118" s="69"/>
      <c r="C118" s="69">
        <v>40</v>
      </c>
      <c r="D118" s="69" t="s">
        <v>232</v>
      </c>
      <c r="E118" s="69"/>
      <c r="F118" s="69"/>
      <c r="G118" s="69"/>
      <c r="H118" s="69"/>
      <c r="I118" s="69"/>
      <c r="J118" s="69"/>
      <c r="K118" s="69"/>
      <c r="L118" s="69"/>
      <c r="M118" s="69"/>
      <c r="N118" s="69"/>
      <c r="O118" s="69"/>
      <c r="P118" s="69"/>
      <c r="Q118" s="69"/>
      <c r="R118" s="69"/>
      <c r="S118" s="69"/>
      <c r="T118" s="145"/>
      <c r="U118" s="145"/>
    </row>
    <row r="119" spans="1:21" ht="18">
      <c r="A119" s="69"/>
      <c r="B119" s="69"/>
      <c r="C119" s="69">
        <v>50</v>
      </c>
      <c r="D119" s="69" t="s">
        <v>233</v>
      </c>
      <c r="E119" s="69"/>
      <c r="F119" s="69"/>
      <c r="G119" s="69"/>
      <c r="H119" s="69"/>
      <c r="I119" s="69"/>
      <c r="J119" s="69"/>
      <c r="K119" s="69"/>
      <c r="L119" s="69"/>
      <c r="M119" s="69"/>
      <c r="N119" s="69"/>
      <c r="O119" s="69"/>
      <c r="P119" s="69"/>
      <c r="Q119" s="69"/>
      <c r="R119" s="69"/>
      <c r="S119" s="69"/>
      <c r="T119" s="145"/>
      <c r="U119" s="145"/>
    </row>
    <row r="120" spans="1:21" ht="18">
      <c r="A120" s="69"/>
      <c r="B120" s="69"/>
      <c r="C120" s="69" t="s">
        <v>218</v>
      </c>
      <c r="D120" s="69" t="s">
        <v>229</v>
      </c>
      <c r="E120" s="69"/>
      <c r="F120" s="69"/>
      <c r="G120" s="69"/>
      <c r="H120" s="69"/>
      <c r="I120" s="69"/>
      <c r="J120" s="69"/>
      <c r="K120" s="69"/>
      <c r="L120" s="69"/>
      <c r="M120" s="69"/>
      <c r="N120" s="69"/>
      <c r="O120" s="69"/>
      <c r="P120" s="69"/>
      <c r="Q120" s="69"/>
      <c r="R120" s="69"/>
      <c r="S120" s="69" t="s">
        <v>225</v>
      </c>
      <c r="T120" s="145" t="s">
        <v>174</v>
      </c>
      <c r="U120" s="145" t="s">
        <v>258</v>
      </c>
    </row>
    <row r="121" spans="1:21" ht="18">
      <c r="A121" s="69"/>
      <c r="B121" s="69"/>
      <c r="C121" s="69">
        <v>100</v>
      </c>
      <c r="D121" s="69" t="s">
        <v>234</v>
      </c>
      <c r="E121" s="69"/>
      <c r="F121" s="69"/>
      <c r="G121" s="69"/>
      <c r="H121" s="69"/>
      <c r="I121" s="69"/>
      <c r="J121" s="69"/>
      <c r="K121" s="69"/>
      <c r="L121" s="69"/>
      <c r="M121" s="69"/>
      <c r="N121" s="69"/>
      <c r="O121" s="69"/>
      <c r="P121" s="69"/>
      <c r="Q121" s="69"/>
      <c r="R121" s="69"/>
      <c r="S121" s="69" t="s">
        <v>224</v>
      </c>
      <c r="T121" s="145"/>
      <c r="U121" s="145"/>
    </row>
    <row r="122" spans="1:21" ht="18">
      <c r="A122" s="69"/>
      <c r="B122" s="69"/>
      <c r="C122" s="69">
        <v>150</v>
      </c>
      <c r="D122" s="69" t="s">
        <v>235</v>
      </c>
      <c r="E122" s="69"/>
      <c r="F122" s="69"/>
      <c r="G122" s="69"/>
      <c r="H122" s="69"/>
      <c r="I122" s="69"/>
      <c r="J122" s="69"/>
      <c r="K122" s="69"/>
      <c r="L122" s="69"/>
      <c r="M122" s="69"/>
      <c r="N122" s="69"/>
      <c r="O122" s="69"/>
      <c r="P122" s="69"/>
      <c r="Q122" s="69"/>
      <c r="R122" s="69"/>
      <c r="S122" s="69" t="s">
        <v>227</v>
      </c>
      <c r="T122" s="145"/>
      <c r="U122" s="145"/>
    </row>
    <row r="123" spans="1:21" ht="18">
      <c r="A123" s="69"/>
      <c r="B123" s="69"/>
      <c r="C123" s="69" t="s">
        <v>218</v>
      </c>
      <c r="D123" s="69" t="s">
        <v>229</v>
      </c>
      <c r="E123" s="69"/>
      <c r="F123" s="69"/>
      <c r="G123" s="69"/>
      <c r="H123" s="69"/>
      <c r="I123" s="69"/>
      <c r="J123" s="69"/>
      <c r="K123" s="69"/>
      <c r="L123" s="69"/>
      <c r="M123" s="69"/>
      <c r="N123" s="69"/>
      <c r="O123" s="69"/>
      <c r="P123" s="69"/>
      <c r="Q123" s="69"/>
      <c r="R123" s="69"/>
      <c r="S123" s="69" t="s">
        <v>236</v>
      </c>
      <c r="T123" s="145" t="s">
        <v>174</v>
      </c>
      <c r="U123" s="145" t="s">
        <v>258</v>
      </c>
    </row>
    <row r="124" spans="1:21" ht="18">
      <c r="A124" s="69"/>
      <c r="B124" s="69"/>
      <c r="C124" s="69">
        <v>10</v>
      </c>
      <c r="D124" s="69" t="s">
        <v>237</v>
      </c>
      <c r="E124" s="69"/>
      <c r="F124" s="69"/>
      <c r="G124" s="69"/>
      <c r="H124" s="69"/>
      <c r="I124" s="69"/>
      <c r="J124" s="69"/>
      <c r="K124" s="69"/>
      <c r="L124" s="69"/>
      <c r="M124" s="69"/>
      <c r="N124" s="69"/>
      <c r="O124" s="69"/>
      <c r="P124" s="69"/>
      <c r="Q124" s="69"/>
      <c r="R124" s="69"/>
      <c r="S124" s="69"/>
      <c r="T124" s="145"/>
      <c r="U124" s="145"/>
    </row>
    <row r="125" spans="1:21" ht="18">
      <c r="A125" s="69"/>
      <c r="B125" s="69"/>
      <c r="C125" s="69">
        <v>15</v>
      </c>
      <c r="D125" s="69" t="s">
        <v>238</v>
      </c>
      <c r="E125" s="69"/>
      <c r="F125" s="69"/>
      <c r="G125" s="69"/>
      <c r="H125" s="69"/>
      <c r="I125" s="69"/>
      <c r="J125" s="69"/>
      <c r="K125" s="69"/>
      <c r="L125" s="69"/>
      <c r="M125" s="69"/>
      <c r="N125" s="69"/>
      <c r="O125" s="69"/>
      <c r="P125" s="69"/>
      <c r="Q125" s="69"/>
      <c r="R125" s="69"/>
      <c r="S125" s="69"/>
      <c r="T125" s="145"/>
      <c r="U125" s="145"/>
    </row>
    <row r="126" spans="1:21" ht="18">
      <c r="A126" s="69"/>
      <c r="B126" s="69"/>
      <c r="C126" s="69">
        <v>25</v>
      </c>
      <c r="D126" s="69" t="s">
        <v>239</v>
      </c>
      <c r="E126" s="69"/>
      <c r="F126" s="69"/>
      <c r="G126" s="69"/>
      <c r="H126" s="69"/>
      <c r="I126" s="69"/>
      <c r="J126" s="69"/>
      <c r="K126" s="69"/>
      <c r="L126" s="69"/>
      <c r="M126" s="69"/>
      <c r="N126" s="69"/>
      <c r="O126" s="69"/>
      <c r="P126" s="69"/>
      <c r="Q126" s="69"/>
      <c r="R126" s="69"/>
      <c r="S126" s="69"/>
      <c r="T126" s="145"/>
      <c r="U126" s="145"/>
    </row>
    <row r="127" spans="1:21" ht="18">
      <c r="A127" s="69"/>
      <c r="B127" s="69"/>
      <c r="C127" s="69">
        <v>50</v>
      </c>
      <c r="D127" s="69" t="s">
        <v>240</v>
      </c>
      <c r="E127" s="69"/>
      <c r="F127" s="69"/>
      <c r="G127" s="69"/>
      <c r="H127" s="69"/>
      <c r="I127" s="69"/>
      <c r="J127" s="69"/>
      <c r="K127" s="69"/>
      <c r="L127" s="69"/>
      <c r="M127" s="69"/>
      <c r="N127" s="69"/>
      <c r="O127" s="69"/>
      <c r="P127" s="69"/>
      <c r="Q127" s="69"/>
      <c r="R127" s="69"/>
      <c r="S127" s="69"/>
      <c r="T127" s="145"/>
      <c r="U127" s="145"/>
    </row>
    <row r="128" spans="1:21" ht="18">
      <c r="A128" s="69"/>
      <c r="B128" s="69"/>
      <c r="C128" s="69">
        <v>80</v>
      </c>
      <c r="D128" s="69" t="s">
        <v>241</v>
      </c>
      <c r="E128" s="69"/>
      <c r="F128" s="69"/>
      <c r="G128" s="69"/>
      <c r="H128" s="69"/>
      <c r="I128" s="69"/>
      <c r="J128" s="69"/>
      <c r="K128" s="69"/>
      <c r="L128" s="69"/>
      <c r="M128" s="69"/>
      <c r="N128" s="69"/>
      <c r="O128" s="69"/>
      <c r="P128" s="69"/>
      <c r="Q128" s="69"/>
      <c r="R128" s="69"/>
      <c r="S128" s="69"/>
      <c r="T128" s="145"/>
      <c r="U128" s="145"/>
    </row>
    <row r="129" spans="1:21" ht="18">
      <c r="A129" s="69"/>
      <c r="B129" s="69"/>
      <c r="C129" s="69">
        <v>100</v>
      </c>
      <c r="D129" s="69" t="s">
        <v>242</v>
      </c>
      <c r="E129" s="69"/>
      <c r="F129" s="69"/>
      <c r="G129" s="69"/>
      <c r="H129" s="69"/>
      <c r="I129" s="69"/>
      <c r="J129" s="69"/>
      <c r="K129" s="69"/>
      <c r="L129" s="69"/>
      <c r="M129" s="69"/>
      <c r="N129" s="69"/>
      <c r="O129" s="69"/>
      <c r="P129" s="69"/>
      <c r="Q129" s="69"/>
      <c r="R129" s="69"/>
      <c r="S129" s="69"/>
      <c r="T129" s="145"/>
      <c r="U129" s="145"/>
    </row>
    <row r="130" spans="1:21" ht="18">
      <c r="A130" s="69"/>
      <c r="B130" s="69"/>
      <c r="C130" s="69">
        <v>150</v>
      </c>
      <c r="D130" s="69" t="s">
        <v>243</v>
      </c>
      <c r="E130" s="69"/>
      <c r="F130" s="69"/>
      <c r="G130" s="69"/>
      <c r="H130" s="69"/>
      <c r="I130" s="69"/>
      <c r="J130" s="69"/>
      <c r="K130" s="69"/>
      <c r="L130" s="69"/>
      <c r="M130" s="69"/>
      <c r="N130" s="69"/>
      <c r="O130" s="69"/>
      <c r="P130" s="69"/>
      <c r="Q130" s="69"/>
      <c r="R130" s="69"/>
      <c r="S130" s="69"/>
      <c r="T130" s="145"/>
      <c r="U130" s="145"/>
    </row>
    <row r="131" spans="1:21" ht="12.75" customHeight="1">
      <c r="A131" s="69"/>
      <c r="B131" s="69"/>
      <c r="C131" s="69">
        <v>200</v>
      </c>
      <c r="D131" s="69" t="s">
        <v>244</v>
      </c>
      <c r="E131" s="69"/>
      <c r="F131" s="69"/>
      <c r="G131" s="69"/>
      <c r="H131" s="69"/>
      <c r="I131" s="69"/>
      <c r="J131" s="69"/>
      <c r="K131" s="69"/>
      <c r="L131" s="69"/>
      <c r="M131" s="69"/>
      <c r="N131" s="69"/>
      <c r="O131" s="69"/>
      <c r="P131" s="69"/>
      <c r="Q131" s="69"/>
      <c r="R131" s="69"/>
      <c r="S131" s="69"/>
      <c r="T131" s="145"/>
      <c r="U131" s="145"/>
    </row>
    <row r="132" spans="1:21" ht="18">
      <c r="A132" s="69"/>
      <c r="B132" s="69"/>
      <c r="C132" s="69" t="s">
        <v>218</v>
      </c>
      <c r="D132" s="69" t="s">
        <v>229</v>
      </c>
      <c r="E132" s="69"/>
      <c r="F132" s="69"/>
      <c r="G132" s="69"/>
      <c r="H132" s="69"/>
      <c r="I132" s="69"/>
      <c r="J132" s="69"/>
      <c r="K132" s="69"/>
      <c r="L132" s="69"/>
      <c r="M132" s="69"/>
      <c r="N132" s="69"/>
      <c r="O132" s="69"/>
      <c r="P132" s="69"/>
      <c r="Q132" s="69"/>
      <c r="R132" s="69"/>
      <c r="S132" s="69" t="s">
        <v>245</v>
      </c>
      <c r="T132" s="145" t="s">
        <v>174</v>
      </c>
      <c r="U132" s="145" t="s">
        <v>258</v>
      </c>
    </row>
    <row r="133" spans="1:21" ht="18">
      <c r="A133" s="69"/>
      <c r="B133" s="69"/>
      <c r="C133" s="69">
        <v>6</v>
      </c>
      <c r="D133" s="69" t="s">
        <v>246</v>
      </c>
      <c r="E133" s="69"/>
      <c r="F133" s="69"/>
      <c r="G133" s="69"/>
      <c r="H133" s="69"/>
      <c r="I133" s="69"/>
      <c r="J133" s="69"/>
      <c r="K133" s="69"/>
      <c r="L133" s="69"/>
      <c r="M133" s="69"/>
      <c r="N133" s="69"/>
      <c r="O133" s="69"/>
      <c r="P133" s="69"/>
      <c r="Q133" s="69"/>
      <c r="R133" s="69"/>
      <c r="S133" s="69" t="s">
        <v>219</v>
      </c>
      <c r="T133" s="145"/>
      <c r="U133" s="145"/>
    </row>
    <row r="134" spans="1:21" ht="18">
      <c r="A134" s="69"/>
      <c r="B134" s="69"/>
      <c r="C134" s="69">
        <v>10</v>
      </c>
      <c r="D134" s="69" t="s">
        <v>250</v>
      </c>
      <c r="E134" s="69"/>
      <c r="F134" s="69"/>
      <c r="G134" s="69"/>
      <c r="H134" s="69"/>
      <c r="I134" s="69"/>
      <c r="J134" s="69"/>
      <c r="K134" s="69"/>
      <c r="L134" s="69"/>
      <c r="M134" s="69"/>
      <c r="N134" s="69"/>
      <c r="O134" s="69"/>
      <c r="P134" s="69"/>
      <c r="Q134" s="69"/>
      <c r="R134" s="69"/>
      <c r="S134" s="69" t="s">
        <v>220</v>
      </c>
      <c r="T134" s="145"/>
      <c r="U134" s="145"/>
    </row>
    <row r="135" spans="1:21" ht="18">
      <c r="A135" s="69"/>
      <c r="B135" s="69"/>
      <c r="C135" s="69">
        <v>15</v>
      </c>
      <c r="D135" s="69" t="s">
        <v>247</v>
      </c>
      <c r="E135" s="69"/>
      <c r="F135" s="69"/>
      <c r="G135" s="69"/>
      <c r="H135" s="69"/>
      <c r="I135" s="69"/>
      <c r="J135" s="69"/>
      <c r="K135" s="69"/>
      <c r="L135" s="69"/>
      <c r="M135" s="69"/>
      <c r="N135" s="69"/>
      <c r="O135" s="69"/>
      <c r="P135" s="69"/>
      <c r="Q135" s="69"/>
      <c r="R135" s="69"/>
      <c r="S135" s="69"/>
      <c r="T135" s="145"/>
      <c r="U135" s="145"/>
    </row>
    <row r="136" spans="1:21" ht="18">
      <c r="A136" s="69"/>
      <c r="B136" s="69"/>
      <c r="C136" s="69">
        <v>25</v>
      </c>
      <c r="D136" s="69" t="s">
        <v>249</v>
      </c>
      <c r="E136" s="69"/>
      <c r="F136" s="69"/>
      <c r="G136" s="69"/>
      <c r="H136" s="69"/>
      <c r="I136" s="69"/>
      <c r="J136" s="69"/>
      <c r="K136" s="69"/>
      <c r="L136" s="69"/>
      <c r="M136" s="69"/>
      <c r="N136" s="69"/>
      <c r="O136" s="69"/>
      <c r="P136" s="69"/>
      <c r="Q136" s="69"/>
      <c r="R136" s="69"/>
      <c r="S136" s="69"/>
      <c r="T136" s="145"/>
      <c r="U136" s="145"/>
    </row>
    <row r="137" spans="1:21" ht="18">
      <c r="A137" s="69"/>
      <c r="B137" s="69"/>
      <c r="C137" s="69">
        <v>40</v>
      </c>
      <c r="D137" s="69" t="s">
        <v>248</v>
      </c>
      <c r="E137" s="69"/>
      <c r="F137" s="69"/>
      <c r="G137" s="69"/>
      <c r="H137" s="69"/>
      <c r="I137" s="69"/>
      <c r="J137" s="69"/>
      <c r="K137" s="69"/>
      <c r="L137" s="69"/>
      <c r="M137" s="69"/>
      <c r="N137" s="69"/>
      <c r="O137" s="69"/>
      <c r="P137" s="69"/>
      <c r="Q137" s="69"/>
      <c r="R137" s="69"/>
      <c r="S137" s="69"/>
      <c r="T137" s="145"/>
      <c r="U137" s="145"/>
    </row>
    <row r="138" spans="1:21" ht="18">
      <c r="A138" s="69"/>
      <c r="B138" s="69"/>
      <c r="C138" s="69">
        <v>50</v>
      </c>
      <c r="D138" s="69" t="s">
        <v>251</v>
      </c>
      <c r="E138" s="69"/>
      <c r="F138" s="69"/>
      <c r="G138" s="69"/>
      <c r="H138" s="69"/>
      <c r="I138" s="69"/>
      <c r="J138" s="69"/>
      <c r="K138" s="69"/>
      <c r="L138" s="69"/>
      <c r="M138" s="69"/>
      <c r="N138" s="69"/>
      <c r="O138" s="69"/>
      <c r="P138" s="69"/>
      <c r="Q138" s="69"/>
      <c r="R138" s="69"/>
      <c r="S138" s="69"/>
      <c r="T138" s="145"/>
      <c r="U138" s="145"/>
    </row>
    <row r="139" spans="1:21" ht="18">
      <c r="A139" s="69"/>
      <c r="B139" s="69"/>
      <c r="C139" s="69">
        <v>80</v>
      </c>
      <c r="D139" s="69" t="s">
        <v>252</v>
      </c>
      <c r="E139" s="69"/>
      <c r="F139" s="69"/>
      <c r="G139" s="69"/>
      <c r="H139" s="69"/>
      <c r="I139" s="69"/>
      <c r="J139" s="69"/>
      <c r="K139" s="69"/>
      <c r="L139" s="69"/>
      <c r="M139" s="69"/>
      <c r="N139" s="69"/>
      <c r="O139" s="69"/>
      <c r="P139" s="69"/>
      <c r="Q139" s="69"/>
      <c r="R139" s="69"/>
      <c r="S139" s="69"/>
      <c r="T139" s="145"/>
      <c r="U139" s="145"/>
    </row>
    <row r="140" spans="1:21" ht="18">
      <c r="A140" s="69"/>
      <c r="B140" s="69"/>
      <c r="C140" s="69" t="s">
        <v>218</v>
      </c>
      <c r="D140" s="69" t="s">
        <v>229</v>
      </c>
      <c r="E140" s="69"/>
      <c r="F140" s="69"/>
      <c r="G140" s="69"/>
      <c r="H140" s="69"/>
      <c r="I140" s="69"/>
      <c r="J140" s="69"/>
      <c r="K140" s="69"/>
      <c r="L140" s="69"/>
      <c r="M140" s="69"/>
      <c r="N140" s="69"/>
      <c r="O140" s="69"/>
      <c r="P140" s="69"/>
      <c r="Q140" s="69"/>
      <c r="R140" s="69"/>
      <c r="S140" s="69" t="s">
        <v>223</v>
      </c>
      <c r="T140" s="145" t="s">
        <v>174</v>
      </c>
      <c r="U140" s="145" t="s">
        <v>258</v>
      </c>
    </row>
    <row r="141" spans="1:21" ht="18">
      <c r="A141" s="69"/>
      <c r="B141" s="69"/>
      <c r="C141" s="69">
        <v>15</v>
      </c>
      <c r="D141" s="69" t="s">
        <v>253</v>
      </c>
      <c r="E141" s="69"/>
      <c r="F141" s="69"/>
      <c r="G141" s="69"/>
      <c r="H141" s="69"/>
      <c r="I141" s="69"/>
      <c r="J141" s="69"/>
      <c r="K141" s="69"/>
      <c r="L141" s="69"/>
      <c r="M141" s="69"/>
      <c r="N141" s="69"/>
      <c r="O141" s="69"/>
      <c r="P141" s="69"/>
      <c r="Q141" s="69"/>
      <c r="R141" s="69"/>
      <c r="S141" s="69" t="s">
        <v>222</v>
      </c>
      <c r="T141" s="145"/>
      <c r="U141" s="145"/>
    </row>
    <row r="142" spans="1:21" ht="18">
      <c r="A142" s="69"/>
      <c r="B142" s="69"/>
      <c r="C142" s="69">
        <v>25</v>
      </c>
      <c r="D142" s="69" t="s">
        <v>254</v>
      </c>
      <c r="E142" s="69"/>
      <c r="F142" s="69"/>
      <c r="G142" s="69"/>
      <c r="H142" s="69"/>
      <c r="I142" s="69"/>
      <c r="J142" s="69"/>
      <c r="K142" s="69"/>
      <c r="L142" s="69"/>
      <c r="M142" s="69"/>
      <c r="N142" s="69"/>
      <c r="O142" s="69"/>
      <c r="P142" s="69"/>
      <c r="Q142" s="69"/>
      <c r="R142" s="69"/>
      <c r="S142" s="69" t="s">
        <v>221</v>
      </c>
      <c r="T142" s="145"/>
      <c r="U142" s="145"/>
    </row>
    <row r="143" spans="1:21" ht="18">
      <c r="A143" s="69"/>
      <c r="B143" s="69"/>
      <c r="C143" s="69">
        <v>40</v>
      </c>
      <c r="D143" s="69" t="s">
        <v>255</v>
      </c>
      <c r="E143" s="69"/>
      <c r="F143" s="69"/>
      <c r="G143" s="69"/>
      <c r="H143" s="69"/>
      <c r="I143" s="69"/>
      <c r="J143" s="69"/>
      <c r="K143" s="69"/>
      <c r="L143" s="69"/>
      <c r="M143" s="69"/>
      <c r="N143" s="69"/>
      <c r="O143" s="69"/>
      <c r="P143" s="69"/>
      <c r="Q143" s="69"/>
      <c r="R143" s="69"/>
      <c r="S143" s="69" t="s">
        <v>226</v>
      </c>
      <c r="T143" s="145"/>
      <c r="U143" s="145"/>
    </row>
    <row r="144" spans="1:21" ht="12.75" customHeight="1">
      <c r="A144" s="69"/>
      <c r="B144" s="69"/>
      <c r="C144" s="69">
        <v>80</v>
      </c>
      <c r="D144" s="69" t="s">
        <v>256</v>
      </c>
      <c r="E144" s="69"/>
      <c r="F144" s="69"/>
      <c r="G144" s="69"/>
      <c r="H144" s="69"/>
      <c r="I144" s="69"/>
      <c r="J144" s="69"/>
      <c r="K144" s="69"/>
      <c r="L144" s="69"/>
      <c r="M144" s="69"/>
      <c r="N144" s="69"/>
      <c r="O144" s="69"/>
      <c r="P144" s="69"/>
      <c r="Q144" s="69"/>
      <c r="R144" s="69"/>
      <c r="S144" s="69"/>
      <c r="T144" s="145"/>
      <c r="U144" s="145"/>
    </row>
    <row r="145" spans="1:21" ht="18">
      <c r="A145" s="69"/>
      <c r="B145" s="69"/>
      <c r="C145" s="69">
        <v>100</v>
      </c>
      <c r="D145" s="69" t="s">
        <v>257</v>
      </c>
      <c r="E145" s="69"/>
      <c r="F145" s="69"/>
      <c r="G145" s="69"/>
      <c r="H145" s="69"/>
      <c r="I145" s="69"/>
      <c r="J145" s="69"/>
      <c r="K145" s="69"/>
      <c r="L145" s="69"/>
      <c r="M145" s="69"/>
      <c r="N145" s="69"/>
      <c r="O145" s="69"/>
      <c r="P145" s="69"/>
      <c r="Q145" s="69"/>
      <c r="R145" s="69"/>
      <c r="S145" s="69"/>
      <c r="T145" s="145"/>
      <c r="U145" s="145"/>
    </row>
    <row r="146" spans="1:21" ht="12.75" customHeight="1">
      <c r="A146" s="69"/>
      <c r="B146" s="69"/>
      <c r="C146" s="69" t="s">
        <v>260</v>
      </c>
      <c r="D146" s="69" t="s">
        <v>261</v>
      </c>
      <c r="E146" s="69"/>
      <c r="F146" s="69"/>
      <c r="G146" s="69"/>
      <c r="H146" s="69"/>
      <c r="I146" s="69"/>
      <c r="J146" s="69"/>
      <c r="K146" s="69"/>
      <c r="L146" s="69"/>
      <c r="M146" s="69"/>
      <c r="N146" s="69"/>
      <c r="O146" s="69"/>
      <c r="P146" s="69"/>
      <c r="Q146" s="69"/>
      <c r="R146" s="69"/>
      <c r="S146" s="69" t="s">
        <v>276</v>
      </c>
      <c r="T146" s="145" t="s">
        <v>206</v>
      </c>
      <c r="U146" s="145" t="s">
        <v>260</v>
      </c>
    </row>
    <row r="147" spans="1:21" ht="18">
      <c r="A147" s="69"/>
      <c r="B147" s="69"/>
      <c r="C147" s="69">
        <v>8</v>
      </c>
      <c r="D147" s="69" t="s">
        <v>262</v>
      </c>
      <c r="E147" s="69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 t="s">
        <v>277</v>
      </c>
      <c r="T147" s="145"/>
      <c r="U147" s="145"/>
    </row>
    <row r="148" spans="1:21" ht="18">
      <c r="A148" s="69"/>
      <c r="B148" s="69"/>
      <c r="C148" s="69">
        <v>10</v>
      </c>
      <c r="D148" s="69" t="s">
        <v>263</v>
      </c>
      <c r="E148" s="69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 t="s">
        <v>285</v>
      </c>
      <c r="T148" s="145"/>
      <c r="U148" s="145"/>
    </row>
    <row r="149" spans="1:21" ht="18">
      <c r="A149" s="69"/>
      <c r="B149" s="69"/>
      <c r="C149" s="69">
        <v>15</v>
      </c>
      <c r="D149" s="69" t="s">
        <v>264</v>
      </c>
      <c r="E149" s="69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 t="s">
        <v>282</v>
      </c>
      <c r="T149" s="145"/>
      <c r="U149" s="145"/>
    </row>
    <row r="150" spans="1:21" ht="18">
      <c r="A150" s="69"/>
      <c r="B150" s="69"/>
      <c r="C150" s="69">
        <v>20</v>
      </c>
      <c r="D150" s="69" t="s">
        <v>265</v>
      </c>
      <c r="E150" s="69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 t="s">
        <v>278</v>
      </c>
      <c r="T150" s="145"/>
      <c r="U150" s="145"/>
    </row>
    <row r="151" spans="1:21" ht="18">
      <c r="A151" s="69"/>
      <c r="B151" s="69"/>
      <c r="C151" s="69">
        <v>25</v>
      </c>
      <c r="D151" s="69" t="s">
        <v>266</v>
      </c>
      <c r="E151" s="69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 t="s">
        <v>284</v>
      </c>
      <c r="T151" s="145"/>
      <c r="U151" s="145"/>
    </row>
    <row r="152" spans="1:21" ht="18">
      <c r="A152" s="69"/>
      <c r="B152" s="69"/>
      <c r="C152" s="69">
        <v>32</v>
      </c>
      <c r="D152" s="69" t="s">
        <v>267</v>
      </c>
      <c r="E152" s="69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 t="s">
        <v>283</v>
      </c>
      <c r="T152" s="145"/>
      <c r="U152" s="145"/>
    </row>
    <row r="153" spans="1:21" ht="18">
      <c r="A153" s="69"/>
      <c r="B153" s="69"/>
      <c r="C153" s="69">
        <v>40</v>
      </c>
      <c r="D153" s="69" t="s">
        <v>268</v>
      </c>
      <c r="E153" s="69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 t="s">
        <v>279</v>
      </c>
      <c r="T153" s="145"/>
      <c r="U153" s="145"/>
    </row>
    <row r="154" spans="1:21" ht="18">
      <c r="A154" s="69"/>
      <c r="B154" s="69"/>
      <c r="C154" s="69">
        <v>50</v>
      </c>
      <c r="D154" s="69" t="s">
        <v>269</v>
      </c>
      <c r="E154" s="69"/>
      <c r="F154" s="69"/>
      <c r="G154" s="69"/>
      <c r="H154" s="69"/>
      <c r="I154" s="69"/>
      <c r="J154" s="69"/>
      <c r="K154" s="69"/>
      <c r="L154" s="69"/>
      <c r="M154" s="69"/>
      <c r="N154" s="69"/>
      <c r="O154" s="69"/>
      <c r="P154" s="69"/>
      <c r="Q154" s="69"/>
      <c r="R154" s="69"/>
      <c r="S154" s="69" t="s">
        <v>281</v>
      </c>
      <c r="T154" s="145"/>
      <c r="U154" s="145"/>
    </row>
    <row r="155" spans="1:21" ht="18">
      <c r="A155" s="69"/>
      <c r="B155" s="69"/>
      <c r="C155" s="69">
        <v>65</v>
      </c>
      <c r="D155" s="69" t="s">
        <v>270</v>
      </c>
      <c r="E155" s="69"/>
      <c r="F155" s="69"/>
      <c r="G155" s="69"/>
      <c r="H155" s="69"/>
      <c r="I155" s="69"/>
      <c r="J155" s="69"/>
      <c r="K155" s="69"/>
      <c r="L155" s="69"/>
      <c r="M155" s="69"/>
      <c r="N155" s="69"/>
      <c r="O155" s="69"/>
      <c r="P155" s="69"/>
      <c r="Q155" s="69"/>
      <c r="R155" s="69"/>
      <c r="S155" s="69" t="s">
        <v>280</v>
      </c>
      <c r="T155" s="145"/>
      <c r="U155" s="145"/>
    </row>
    <row r="156" spans="1:21" ht="18">
      <c r="A156" s="69"/>
      <c r="B156" s="69"/>
      <c r="C156" s="69">
        <v>80</v>
      </c>
      <c r="D156" s="69" t="s">
        <v>271</v>
      </c>
      <c r="E156" s="69"/>
      <c r="F156" s="69"/>
      <c r="G156" s="69"/>
      <c r="H156" s="69"/>
      <c r="I156" s="69"/>
      <c r="J156" s="69"/>
      <c r="K156" s="69"/>
      <c r="L156" s="69"/>
      <c r="M156" s="69"/>
      <c r="N156" s="69"/>
      <c r="O156" s="69"/>
      <c r="P156" s="69"/>
      <c r="Q156" s="69"/>
      <c r="R156" s="69"/>
      <c r="S156" s="69" t="s">
        <v>286</v>
      </c>
      <c r="T156" s="145"/>
      <c r="U156" s="145"/>
    </row>
    <row r="157" spans="1:21" ht="12.75" customHeight="1">
      <c r="A157" s="69"/>
      <c r="B157" s="69"/>
      <c r="C157" s="69">
        <v>100</v>
      </c>
      <c r="D157" s="69" t="s">
        <v>272</v>
      </c>
      <c r="E157" s="69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 t="s">
        <v>291</v>
      </c>
      <c r="T157" s="145"/>
      <c r="U157" s="145"/>
    </row>
    <row r="158" spans="1:21" ht="18">
      <c r="A158" s="69"/>
      <c r="B158" s="69"/>
      <c r="C158" s="69">
        <v>125</v>
      </c>
      <c r="D158" s="69" t="s">
        <v>273</v>
      </c>
      <c r="E158" s="69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 t="s">
        <v>292</v>
      </c>
      <c r="T158" s="145"/>
      <c r="U158" s="145"/>
    </row>
    <row r="159" spans="1:21" ht="18">
      <c r="A159" s="69"/>
      <c r="B159" s="69"/>
      <c r="C159" s="69">
        <v>150</v>
      </c>
      <c r="D159" s="69" t="s">
        <v>274</v>
      </c>
      <c r="E159" s="69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 t="s">
        <v>293</v>
      </c>
      <c r="T159" s="145"/>
      <c r="U159" s="145"/>
    </row>
    <row r="160" spans="1:21" ht="18">
      <c r="A160" s="69"/>
      <c r="B160" s="69"/>
      <c r="C160" s="69">
        <v>200</v>
      </c>
      <c r="D160" s="69" t="s">
        <v>275</v>
      </c>
      <c r="E160" s="69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 t="s">
        <v>294</v>
      </c>
      <c r="T160" s="145"/>
      <c r="U160" s="145"/>
    </row>
    <row r="161" spans="1:21" ht="18">
      <c r="A161" s="69"/>
      <c r="B161" s="69"/>
      <c r="C161" s="92" t="s">
        <v>348</v>
      </c>
      <c r="D161" s="69"/>
      <c r="E161" s="69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 t="s">
        <v>295</v>
      </c>
      <c r="T161" s="145"/>
      <c r="U161" s="145"/>
    </row>
    <row r="162" spans="1:21" ht="18">
      <c r="A162" s="69"/>
      <c r="B162" s="69"/>
      <c r="C162" s="92" t="s">
        <v>348</v>
      </c>
      <c r="D162" s="69"/>
      <c r="E162" s="69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 t="s">
        <v>287</v>
      </c>
      <c r="T162" s="145"/>
      <c r="U162" s="145"/>
    </row>
    <row r="163" spans="1:21" ht="18">
      <c r="A163" s="69"/>
      <c r="B163" s="69"/>
      <c r="C163" s="92" t="s">
        <v>348</v>
      </c>
      <c r="D163" s="69"/>
      <c r="E163" s="69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 t="s">
        <v>288</v>
      </c>
      <c r="T163" s="145"/>
      <c r="U163" s="145"/>
    </row>
    <row r="164" spans="1:21" ht="18">
      <c r="A164" s="69"/>
      <c r="B164" s="69"/>
      <c r="C164" s="92" t="s">
        <v>348</v>
      </c>
      <c r="D164" s="69"/>
      <c r="E164" s="69"/>
      <c r="F164" s="69"/>
      <c r="G164" s="69"/>
      <c r="H164" s="69"/>
      <c r="I164" s="69"/>
      <c r="J164" s="69"/>
      <c r="K164" s="69"/>
      <c r="L164" s="69"/>
      <c r="M164" s="69"/>
      <c r="N164" s="69"/>
      <c r="O164" s="69"/>
      <c r="P164" s="69"/>
      <c r="Q164" s="69"/>
      <c r="R164" s="69"/>
      <c r="S164" s="69" t="s">
        <v>289</v>
      </c>
      <c r="T164" s="145"/>
      <c r="U164" s="145"/>
    </row>
    <row r="165" spans="1:21" ht="18">
      <c r="A165" s="69"/>
      <c r="B165" s="69"/>
      <c r="C165" s="92" t="s">
        <v>348</v>
      </c>
      <c r="D165" s="69"/>
      <c r="E165" s="69"/>
      <c r="F165" s="69"/>
      <c r="G165" s="69"/>
      <c r="H165" s="69"/>
      <c r="I165" s="69"/>
      <c r="J165" s="69"/>
      <c r="K165" s="69"/>
      <c r="L165" s="69"/>
      <c r="M165" s="69"/>
      <c r="N165" s="69"/>
      <c r="O165" s="69"/>
      <c r="P165" s="69"/>
      <c r="Q165" s="69"/>
      <c r="R165" s="69"/>
      <c r="S165" s="69" t="s">
        <v>290</v>
      </c>
      <c r="T165" s="145"/>
      <c r="U165" s="145"/>
    </row>
    <row r="166" spans="1:21" ht="18">
      <c r="A166" s="69"/>
      <c r="B166" s="69"/>
      <c r="C166" s="69" t="s">
        <v>303</v>
      </c>
      <c r="D166" s="69" t="s">
        <v>304</v>
      </c>
      <c r="E166" s="69"/>
      <c r="F166" s="69"/>
      <c r="G166" s="69"/>
      <c r="H166" s="69"/>
      <c r="I166" s="69"/>
      <c r="J166" s="69"/>
      <c r="K166" s="69"/>
      <c r="L166" s="69"/>
      <c r="M166" s="69"/>
      <c r="N166" s="69"/>
      <c r="O166" s="69"/>
      <c r="P166" s="69"/>
      <c r="Q166" s="69"/>
      <c r="R166" s="69"/>
      <c r="S166" s="69" t="s">
        <v>313</v>
      </c>
      <c r="T166" s="145" t="s">
        <v>314</v>
      </c>
      <c r="U166" s="145" t="s">
        <v>303</v>
      </c>
    </row>
    <row r="167" spans="1:21" ht="18">
      <c r="A167" s="69"/>
      <c r="B167" s="69"/>
      <c r="C167" s="69">
        <v>15</v>
      </c>
      <c r="D167" s="69" t="s">
        <v>305</v>
      </c>
      <c r="E167" s="69"/>
      <c r="F167" s="69"/>
      <c r="G167" s="69"/>
      <c r="H167" s="69"/>
      <c r="I167" s="69"/>
      <c r="J167" s="69"/>
      <c r="K167" s="69"/>
      <c r="L167" s="69"/>
      <c r="M167" s="69"/>
      <c r="N167" s="69"/>
      <c r="O167" s="69"/>
      <c r="P167" s="69"/>
      <c r="Q167" s="69"/>
      <c r="R167" s="69"/>
      <c r="S167" s="69"/>
      <c r="T167" s="145"/>
      <c r="U167" s="145"/>
    </row>
    <row r="168" spans="1:21" ht="18">
      <c r="A168" s="69"/>
      <c r="B168" s="69"/>
      <c r="C168" s="69">
        <v>25</v>
      </c>
      <c r="D168" s="69" t="s">
        <v>306</v>
      </c>
      <c r="E168" s="69"/>
      <c r="F168" s="69"/>
      <c r="G168" s="69"/>
      <c r="H168" s="69"/>
      <c r="I168" s="69"/>
      <c r="J168" s="69"/>
      <c r="K168" s="69"/>
      <c r="L168" s="69"/>
      <c r="M168" s="69"/>
      <c r="N168" s="69"/>
      <c r="O168" s="69"/>
      <c r="P168" s="69"/>
      <c r="Q168" s="69"/>
      <c r="R168" s="69"/>
      <c r="S168" s="69"/>
      <c r="T168" s="145"/>
      <c r="U168" s="145"/>
    </row>
    <row r="169" spans="1:21" ht="18">
      <c r="A169" s="69"/>
      <c r="B169" s="69"/>
      <c r="C169" s="69">
        <v>40</v>
      </c>
      <c r="D169" s="69" t="s">
        <v>307</v>
      </c>
      <c r="E169" s="69"/>
      <c r="F169" s="69"/>
      <c r="G169" s="69"/>
      <c r="H169" s="69"/>
      <c r="I169" s="69"/>
      <c r="J169" s="69"/>
      <c r="K169" s="69"/>
      <c r="L169" s="69"/>
      <c r="M169" s="69"/>
      <c r="N169" s="69"/>
      <c r="O169" s="69"/>
      <c r="P169" s="69"/>
      <c r="Q169" s="69"/>
      <c r="R169" s="69"/>
      <c r="S169" s="69"/>
      <c r="T169" s="145"/>
      <c r="U169" s="145"/>
    </row>
    <row r="170" spans="1:21" ht="18">
      <c r="A170" s="69"/>
      <c r="B170" s="69"/>
      <c r="C170" s="69">
        <v>50</v>
      </c>
      <c r="D170" s="69" t="s">
        <v>308</v>
      </c>
      <c r="E170" s="69"/>
      <c r="F170" s="69"/>
      <c r="G170" s="69"/>
      <c r="H170" s="69"/>
      <c r="I170" s="69"/>
      <c r="J170" s="69"/>
      <c r="K170" s="69"/>
      <c r="L170" s="69"/>
      <c r="M170" s="69"/>
      <c r="N170" s="69"/>
      <c r="O170" s="69"/>
      <c r="P170" s="69"/>
      <c r="Q170" s="69"/>
      <c r="R170" s="69"/>
      <c r="S170" s="69"/>
      <c r="T170" s="145"/>
      <c r="U170" s="145"/>
    </row>
    <row r="171" spans="1:21" ht="18">
      <c r="A171" s="69"/>
      <c r="B171" s="69"/>
      <c r="C171" s="69">
        <v>80</v>
      </c>
      <c r="D171" s="69" t="s">
        <v>312</v>
      </c>
      <c r="E171" s="69"/>
      <c r="F171" s="69"/>
      <c r="G171" s="69"/>
      <c r="H171" s="69"/>
      <c r="I171" s="69"/>
      <c r="J171" s="69"/>
      <c r="K171" s="69"/>
      <c r="L171" s="69"/>
      <c r="M171" s="69"/>
      <c r="N171" s="69"/>
      <c r="O171" s="69"/>
      <c r="P171" s="69"/>
      <c r="Q171" s="69"/>
      <c r="R171" s="69"/>
      <c r="S171" s="69"/>
      <c r="T171" s="145"/>
      <c r="U171" s="145"/>
    </row>
    <row r="172" spans="1:21" ht="18">
      <c r="A172" s="69"/>
      <c r="B172" s="69"/>
      <c r="C172" s="69">
        <v>100</v>
      </c>
      <c r="D172" s="69" t="s">
        <v>309</v>
      </c>
      <c r="E172" s="69"/>
      <c r="F172" s="69"/>
      <c r="G172" s="69"/>
      <c r="H172" s="69"/>
      <c r="I172" s="69"/>
      <c r="J172" s="69"/>
      <c r="K172" s="69"/>
      <c r="L172" s="69"/>
      <c r="M172" s="69"/>
      <c r="N172" s="69"/>
      <c r="O172" s="69"/>
      <c r="P172" s="69"/>
      <c r="Q172" s="69"/>
      <c r="R172" s="69"/>
      <c r="S172" s="69"/>
      <c r="T172" s="145"/>
      <c r="U172" s="145"/>
    </row>
    <row r="173" spans="1:21" ht="18">
      <c r="A173" s="69"/>
      <c r="B173" s="69"/>
      <c r="C173" s="69">
        <v>150</v>
      </c>
      <c r="D173" s="69" t="s">
        <v>310</v>
      </c>
      <c r="E173" s="69"/>
      <c r="F173" s="69"/>
      <c r="G173" s="69"/>
      <c r="H173" s="69"/>
      <c r="I173" s="69"/>
      <c r="J173" s="69"/>
      <c r="K173" s="69"/>
      <c r="L173" s="69"/>
      <c r="M173" s="69"/>
      <c r="N173" s="69"/>
      <c r="O173" s="69"/>
      <c r="P173" s="69"/>
      <c r="Q173" s="69"/>
      <c r="R173" s="69"/>
      <c r="S173" s="69"/>
      <c r="T173" s="145"/>
      <c r="U173" s="145"/>
    </row>
    <row r="174" spans="1:21" ht="18">
      <c r="A174" s="69"/>
      <c r="B174" s="69"/>
      <c r="C174" s="69">
        <v>200</v>
      </c>
      <c r="D174" s="69" t="s">
        <v>311</v>
      </c>
      <c r="E174" s="69"/>
      <c r="F174" s="69"/>
      <c r="G174" s="69"/>
      <c r="H174" s="69"/>
      <c r="I174" s="69"/>
      <c r="J174" s="69"/>
      <c r="K174" s="69"/>
      <c r="L174" s="69"/>
      <c r="M174" s="69"/>
      <c r="N174" s="69"/>
      <c r="O174" s="69"/>
      <c r="P174" s="69"/>
      <c r="Q174" s="69"/>
      <c r="R174" s="69"/>
      <c r="S174" s="69"/>
      <c r="T174" s="145"/>
      <c r="U174" s="145"/>
    </row>
    <row r="175" spans="1:21" ht="18">
      <c r="A175" s="69"/>
      <c r="B175" s="69"/>
      <c r="C175" s="69" t="s">
        <v>303</v>
      </c>
      <c r="D175" s="69" t="s">
        <v>304</v>
      </c>
      <c r="E175" s="69"/>
      <c r="F175" s="69"/>
      <c r="G175" s="69"/>
      <c r="H175" s="69"/>
      <c r="I175" s="69"/>
      <c r="J175" s="69"/>
      <c r="K175" s="69"/>
      <c r="L175" s="69"/>
      <c r="M175" s="69"/>
      <c r="N175" s="69"/>
      <c r="O175" s="69"/>
      <c r="P175" s="69"/>
      <c r="Q175" s="69"/>
      <c r="R175" s="69"/>
      <c r="S175" s="69" t="s">
        <v>322</v>
      </c>
      <c r="T175" s="145" t="s">
        <v>314</v>
      </c>
      <c r="U175" s="145" t="s">
        <v>303</v>
      </c>
    </row>
    <row r="176" spans="1:21" ht="18">
      <c r="A176" s="69"/>
      <c r="B176" s="69"/>
      <c r="C176" s="69">
        <v>15</v>
      </c>
      <c r="D176" s="69" t="s">
        <v>315</v>
      </c>
      <c r="E176" s="69"/>
      <c r="F176" s="69"/>
      <c r="G176" s="69"/>
      <c r="H176" s="69"/>
      <c r="I176" s="69"/>
      <c r="J176" s="69"/>
      <c r="K176" s="69"/>
      <c r="L176" s="69"/>
      <c r="M176" s="69"/>
      <c r="N176" s="69"/>
      <c r="O176" s="69"/>
      <c r="P176" s="69"/>
      <c r="Q176" s="69"/>
      <c r="R176" s="69"/>
      <c r="S176" s="69"/>
      <c r="T176" s="145"/>
      <c r="U176" s="145"/>
    </row>
    <row r="177" spans="1:21" ht="18">
      <c r="A177" s="69"/>
      <c r="B177" s="69"/>
      <c r="C177" s="69">
        <v>25</v>
      </c>
      <c r="D177" s="69" t="s">
        <v>316</v>
      </c>
      <c r="E177" s="69"/>
      <c r="F177" s="69"/>
      <c r="G177" s="69"/>
      <c r="H177" s="69"/>
      <c r="I177" s="69"/>
      <c r="J177" s="69"/>
      <c r="K177" s="69"/>
      <c r="L177" s="69"/>
      <c r="M177" s="69"/>
      <c r="N177" s="69"/>
      <c r="O177" s="69"/>
      <c r="P177" s="69"/>
      <c r="Q177" s="69"/>
      <c r="R177" s="69"/>
      <c r="S177" s="69"/>
      <c r="T177" s="145"/>
      <c r="U177" s="145"/>
    </row>
    <row r="178" spans="1:21" ht="18">
      <c r="A178" s="69"/>
      <c r="B178" s="69"/>
      <c r="C178" s="69">
        <v>40</v>
      </c>
      <c r="D178" s="69" t="s">
        <v>317</v>
      </c>
      <c r="E178" s="69"/>
      <c r="F178" s="69"/>
      <c r="G178" s="69"/>
      <c r="H178" s="69"/>
      <c r="I178" s="69"/>
      <c r="J178" s="69"/>
      <c r="K178" s="69"/>
      <c r="L178" s="69"/>
      <c r="M178" s="69"/>
      <c r="N178" s="69"/>
      <c r="O178" s="69"/>
      <c r="P178" s="69"/>
      <c r="Q178" s="69"/>
      <c r="R178" s="69"/>
      <c r="S178" s="69"/>
      <c r="T178" s="145"/>
      <c r="U178" s="145"/>
    </row>
    <row r="179" spans="1:21" ht="18">
      <c r="A179" s="69"/>
      <c r="B179" s="69"/>
      <c r="C179" s="69">
        <v>50</v>
      </c>
      <c r="D179" s="69" t="s">
        <v>318</v>
      </c>
      <c r="E179" s="69"/>
      <c r="F179" s="69"/>
      <c r="G179" s="69"/>
      <c r="H179" s="69"/>
      <c r="I179" s="69"/>
      <c r="J179" s="69"/>
      <c r="K179" s="69"/>
      <c r="L179" s="69"/>
      <c r="M179" s="69"/>
      <c r="N179" s="69"/>
      <c r="O179" s="69"/>
      <c r="P179" s="69"/>
      <c r="Q179" s="69"/>
      <c r="R179" s="69"/>
      <c r="S179" s="69"/>
      <c r="T179" s="145"/>
      <c r="U179" s="145"/>
    </row>
    <row r="180" spans="1:21" ht="18">
      <c r="A180" s="69"/>
      <c r="B180" s="69"/>
      <c r="C180" s="69">
        <v>80</v>
      </c>
      <c r="D180" s="69" t="s">
        <v>319</v>
      </c>
      <c r="E180" s="69"/>
      <c r="F180" s="69"/>
      <c r="G180" s="69"/>
      <c r="H180" s="69"/>
      <c r="I180" s="69"/>
      <c r="J180" s="69"/>
      <c r="K180" s="69"/>
      <c r="L180" s="69"/>
      <c r="M180" s="69"/>
      <c r="N180" s="69"/>
      <c r="O180" s="69"/>
      <c r="P180" s="69"/>
      <c r="Q180" s="69"/>
      <c r="R180" s="69"/>
      <c r="S180" s="69"/>
      <c r="T180" s="145"/>
      <c r="U180" s="145"/>
    </row>
    <row r="181" spans="1:21" ht="18">
      <c r="A181" s="69"/>
      <c r="B181" s="69"/>
      <c r="C181" s="69">
        <v>100</v>
      </c>
      <c r="D181" s="69" t="s">
        <v>320</v>
      </c>
      <c r="E181" s="69"/>
      <c r="F181" s="69"/>
      <c r="G181" s="69"/>
      <c r="H181" s="69"/>
      <c r="I181" s="69"/>
      <c r="J181" s="69"/>
      <c r="K181" s="69"/>
      <c r="L181" s="69"/>
      <c r="M181" s="69"/>
      <c r="N181" s="69"/>
      <c r="O181" s="69"/>
      <c r="P181" s="69"/>
      <c r="Q181" s="69"/>
      <c r="R181" s="69"/>
      <c r="S181" s="69"/>
      <c r="T181" s="145"/>
      <c r="U181" s="145"/>
    </row>
    <row r="182" spans="1:21" ht="18">
      <c r="A182" s="69"/>
      <c r="B182" s="69"/>
      <c r="C182" s="69">
        <v>150</v>
      </c>
      <c r="D182" s="69" t="s">
        <v>321</v>
      </c>
      <c r="E182" s="69"/>
      <c r="F182" s="69"/>
      <c r="G182" s="69"/>
      <c r="H182" s="69"/>
      <c r="I182" s="69"/>
      <c r="J182" s="69"/>
      <c r="K182" s="69"/>
      <c r="L182" s="69"/>
      <c r="M182" s="69"/>
      <c r="N182" s="69"/>
      <c r="O182" s="69"/>
      <c r="P182" s="69"/>
      <c r="Q182" s="69"/>
      <c r="R182" s="69"/>
      <c r="S182" s="69"/>
      <c r="T182" s="145"/>
      <c r="U182" s="145"/>
    </row>
    <row r="183" spans="1:21" ht="18">
      <c r="A183" s="69"/>
      <c r="B183" s="69"/>
      <c r="C183" s="69" t="s">
        <v>303</v>
      </c>
      <c r="D183" s="69" t="s">
        <v>304</v>
      </c>
      <c r="E183" s="69"/>
      <c r="F183" s="69"/>
      <c r="G183" s="69"/>
      <c r="H183" s="69"/>
      <c r="I183" s="69"/>
      <c r="J183" s="69"/>
      <c r="K183" s="69"/>
      <c r="L183" s="69"/>
      <c r="M183" s="69"/>
      <c r="N183" s="69"/>
      <c r="O183" s="69"/>
      <c r="P183" s="69"/>
      <c r="Q183" s="69"/>
      <c r="R183" s="69"/>
      <c r="S183" s="69" t="s">
        <v>331</v>
      </c>
      <c r="T183" s="145" t="s">
        <v>314</v>
      </c>
      <c r="U183" s="145" t="s">
        <v>303</v>
      </c>
    </row>
    <row r="184" spans="1:21" ht="18">
      <c r="A184" s="69"/>
      <c r="B184" s="69"/>
      <c r="C184" s="69">
        <v>15</v>
      </c>
      <c r="D184" s="69" t="s">
        <v>323</v>
      </c>
      <c r="E184" s="69"/>
      <c r="F184" s="69"/>
      <c r="G184" s="69"/>
      <c r="H184" s="69"/>
      <c r="I184" s="69"/>
      <c r="J184" s="69"/>
      <c r="K184" s="69"/>
      <c r="L184" s="69"/>
      <c r="M184" s="69"/>
      <c r="N184" s="69"/>
      <c r="O184" s="69"/>
      <c r="P184" s="69"/>
      <c r="Q184" s="69"/>
      <c r="R184" s="69"/>
      <c r="S184" s="69" t="s">
        <v>332</v>
      </c>
      <c r="T184" s="145"/>
      <c r="U184" s="145"/>
    </row>
    <row r="185" spans="1:21" ht="18">
      <c r="A185" s="69"/>
      <c r="B185" s="69"/>
      <c r="C185" s="69">
        <v>25</v>
      </c>
      <c r="D185" s="69" t="s">
        <v>324</v>
      </c>
      <c r="E185" s="69"/>
      <c r="F185" s="69"/>
      <c r="G185" s="69"/>
      <c r="H185" s="69"/>
      <c r="I185" s="69"/>
      <c r="J185" s="69"/>
      <c r="K185" s="69"/>
      <c r="L185" s="69"/>
      <c r="M185" s="69"/>
      <c r="N185" s="69"/>
      <c r="O185" s="69"/>
      <c r="P185" s="69"/>
      <c r="Q185" s="69"/>
      <c r="R185" s="69"/>
      <c r="S185" s="69" t="s">
        <v>333</v>
      </c>
      <c r="T185" s="145"/>
      <c r="U185" s="145"/>
    </row>
    <row r="186" spans="1:21" ht="18">
      <c r="A186" s="69"/>
      <c r="B186" s="69"/>
      <c r="C186" s="69">
        <v>40</v>
      </c>
      <c r="D186" s="69" t="s">
        <v>325</v>
      </c>
      <c r="E186" s="69"/>
      <c r="F186" s="69"/>
      <c r="G186" s="69"/>
      <c r="H186" s="69"/>
      <c r="I186" s="69"/>
      <c r="J186" s="69"/>
      <c r="K186" s="69"/>
      <c r="L186" s="69"/>
      <c r="M186" s="69"/>
      <c r="N186" s="69"/>
      <c r="O186" s="69"/>
      <c r="P186" s="69"/>
      <c r="Q186" s="69"/>
      <c r="R186" s="69"/>
      <c r="S186" s="69" t="s">
        <v>334</v>
      </c>
      <c r="T186" s="145"/>
      <c r="U186" s="145"/>
    </row>
    <row r="187" spans="1:21" ht="18">
      <c r="A187" s="69"/>
      <c r="B187" s="69"/>
      <c r="C187" s="69">
        <v>50</v>
      </c>
      <c r="D187" s="69" t="s">
        <v>326</v>
      </c>
      <c r="E187" s="69"/>
      <c r="F187" s="69"/>
      <c r="G187" s="69"/>
      <c r="H187" s="69"/>
      <c r="I187" s="69"/>
      <c r="J187" s="69"/>
      <c r="K187" s="69"/>
      <c r="L187" s="69"/>
      <c r="M187" s="69"/>
      <c r="N187" s="69"/>
      <c r="O187" s="69"/>
      <c r="P187" s="69"/>
      <c r="Q187" s="69"/>
      <c r="R187" s="69"/>
      <c r="S187" s="69" t="s">
        <v>335</v>
      </c>
      <c r="T187" s="145"/>
      <c r="U187" s="145"/>
    </row>
    <row r="188" spans="1:21" ht="18">
      <c r="A188" s="69"/>
      <c r="B188" s="69"/>
      <c r="C188" s="69">
        <v>80</v>
      </c>
      <c r="D188" s="69" t="s">
        <v>327</v>
      </c>
      <c r="E188" s="69"/>
      <c r="F188" s="69"/>
      <c r="G188" s="69"/>
      <c r="H188" s="69"/>
      <c r="I188" s="69"/>
      <c r="J188" s="69"/>
      <c r="K188" s="69"/>
      <c r="L188" s="69"/>
      <c r="M188" s="69"/>
      <c r="N188" s="69"/>
      <c r="O188" s="69"/>
      <c r="P188" s="69"/>
      <c r="Q188" s="69"/>
      <c r="R188" s="69"/>
      <c r="S188" s="69" t="s">
        <v>336</v>
      </c>
      <c r="T188" s="145"/>
      <c r="U188" s="145"/>
    </row>
    <row r="189" spans="1:21" ht="18">
      <c r="A189" s="69"/>
      <c r="B189" s="69"/>
      <c r="C189" s="69">
        <v>100</v>
      </c>
      <c r="D189" s="69" t="s">
        <v>328</v>
      </c>
      <c r="E189" s="69"/>
      <c r="F189" s="69"/>
      <c r="G189" s="69"/>
      <c r="H189" s="69"/>
      <c r="I189" s="69"/>
      <c r="J189" s="69"/>
      <c r="K189" s="69"/>
      <c r="L189" s="69"/>
      <c r="M189" s="69"/>
      <c r="N189" s="69"/>
      <c r="O189" s="69"/>
      <c r="P189" s="69"/>
      <c r="Q189" s="69"/>
      <c r="R189" s="69"/>
      <c r="S189" s="69"/>
      <c r="T189" s="145"/>
      <c r="U189" s="145"/>
    </row>
    <row r="190" spans="1:21" ht="18">
      <c r="A190" s="69"/>
      <c r="B190" s="69"/>
      <c r="C190" s="69">
        <v>150</v>
      </c>
      <c r="D190" s="69" t="s">
        <v>329</v>
      </c>
      <c r="E190" s="69"/>
      <c r="F190" s="69"/>
      <c r="G190" s="69"/>
      <c r="H190" s="69"/>
      <c r="I190" s="69"/>
      <c r="J190" s="69"/>
      <c r="K190" s="69"/>
      <c r="L190" s="69"/>
      <c r="M190" s="69"/>
      <c r="N190" s="69"/>
      <c r="O190" s="69"/>
      <c r="P190" s="69"/>
      <c r="Q190" s="69"/>
      <c r="R190" s="69"/>
      <c r="S190" s="69"/>
      <c r="T190" s="145"/>
      <c r="U190" s="145"/>
    </row>
    <row r="191" spans="1:21" ht="18">
      <c r="A191" s="69"/>
      <c r="B191" s="69"/>
      <c r="C191" s="69">
        <v>200</v>
      </c>
      <c r="D191" s="69" t="s">
        <v>330</v>
      </c>
      <c r="E191" s="69"/>
      <c r="F191" s="69"/>
      <c r="G191" s="69"/>
      <c r="H191" s="69"/>
      <c r="I191" s="69"/>
      <c r="J191" s="69"/>
      <c r="K191" s="69"/>
      <c r="L191" s="69"/>
      <c r="M191" s="69"/>
      <c r="N191" s="69"/>
      <c r="O191" s="69"/>
      <c r="P191" s="69"/>
      <c r="Q191" s="69"/>
      <c r="R191" s="69"/>
      <c r="S191" s="69"/>
      <c r="T191" s="145"/>
      <c r="U191" s="145"/>
    </row>
    <row r="192" spans="1:21" ht="18">
      <c r="A192" s="69"/>
      <c r="B192" s="69"/>
      <c r="C192" s="69" t="s">
        <v>303</v>
      </c>
      <c r="D192" s="69" t="s">
        <v>304</v>
      </c>
      <c r="E192" s="69"/>
      <c r="F192" s="69"/>
      <c r="G192" s="69"/>
      <c r="H192" s="69"/>
      <c r="I192" s="69"/>
      <c r="J192" s="69"/>
      <c r="K192" s="69"/>
      <c r="L192" s="69"/>
      <c r="M192" s="69"/>
      <c r="N192" s="69"/>
      <c r="O192" s="69"/>
      <c r="P192" s="69"/>
      <c r="Q192" s="69"/>
      <c r="R192" s="69"/>
      <c r="S192" s="69" t="s">
        <v>344</v>
      </c>
      <c r="T192" s="145" t="s">
        <v>314</v>
      </c>
      <c r="U192" s="145" t="s">
        <v>303</v>
      </c>
    </row>
    <row r="193" spans="1:21" ht="18">
      <c r="A193" s="69"/>
      <c r="B193" s="69"/>
      <c r="C193" s="69">
        <v>15</v>
      </c>
      <c r="D193" s="69" t="s">
        <v>337</v>
      </c>
      <c r="E193" s="69"/>
      <c r="F193" s="69"/>
      <c r="G193" s="69"/>
      <c r="H193" s="69"/>
      <c r="I193" s="69"/>
      <c r="J193" s="69"/>
      <c r="K193" s="69"/>
      <c r="L193" s="69"/>
      <c r="M193" s="69"/>
      <c r="N193" s="69"/>
      <c r="O193" s="69"/>
      <c r="P193" s="69"/>
      <c r="Q193" s="69"/>
      <c r="R193" s="69"/>
      <c r="S193" s="69" t="s">
        <v>345</v>
      </c>
      <c r="T193" s="145"/>
      <c r="U193" s="145"/>
    </row>
    <row r="194" spans="1:21" ht="18">
      <c r="A194" s="69"/>
      <c r="B194" s="69"/>
      <c r="C194" s="69">
        <v>25</v>
      </c>
      <c r="D194" s="69" t="s">
        <v>338</v>
      </c>
      <c r="E194" s="69"/>
      <c r="F194" s="69"/>
      <c r="G194" s="69"/>
      <c r="H194" s="69"/>
      <c r="I194" s="69"/>
      <c r="J194" s="69"/>
      <c r="K194" s="69"/>
      <c r="L194" s="69"/>
      <c r="M194" s="69"/>
      <c r="N194" s="69"/>
      <c r="O194" s="69"/>
      <c r="P194" s="69"/>
      <c r="Q194" s="69"/>
      <c r="R194" s="69"/>
      <c r="S194" s="69" t="s">
        <v>346</v>
      </c>
      <c r="T194" s="145"/>
      <c r="U194" s="145"/>
    </row>
    <row r="195" spans="1:21" ht="18">
      <c r="A195" s="69"/>
      <c r="B195" s="69"/>
      <c r="C195" s="69">
        <v>40</v>
      </c>
      <c r="D195" s="69" t="s">
        <v>339</v>
      </c>
      <c r="E195" s="69"/>
      <c r="F195" s="69"/>
      <c r="G195" s="69"/>
      <c r="H195" s="69"/>
      <c r="I195" s="69"/>
      <c r="J195" s="69"/>
      <c r="K195" s="69"/>
      <c r="L195" s="69"/>
      <c r="M195" s="69"/>
      <c r="N195" s="69"/>
      <c r="O195" s="69"/>
      <c r="P195" s="69"/>
      <c r="Q195" s="69"/>
      <c r="R195" s="69"/>
      <c r="S195" s="69" t="s">
        <v>347</v>
      </c>
      <c r="T195" s="145"/>
      <c r="U195" s="145"/>
    </row>
    <row r="196" spans="1:21" ht="18">
      <c r="A196" s="69"/>
      <c r="B196" s="69"/>
      <c r="C196" s="69">
        <v>50</v>
      </c>
      <c r="D196" s="69" t="s">
        <v>340</v>
      </c>
      <c r="E196" s="69"/>
      <c r="F196" s="69"/>
      <c r="G196" s="69"/>
      <c r="H196" s="69"/>
      <c r="I196" s="69"/>
      <c r="J196" s="69"/>
      <c r="K196" s="69"/>
      <c r="L196" s="69"/>
      <c r="M196" s="69"/>
      <c r="N196" s="69"/>
      <c r="O196" s="69"/>
      <c r="P196" s="69"/>
      <c r="Q196" s="69"/>
      <c r="R196" s="69"/>
      <c r="S196" s="69"/>
      <c r="T196" s="145"/>
      <c r="U196" s="145"/>
    </row>
    <row r="197" spans="1:21" ht="18">
      <c r="A197" s="69"/>
      <c r="B197" s="69"/>
      <c r="C197" s="69">
        <v>80</v>
      </c>
      <c r="D197" s="69" t="s">
        <v>341</v>
      </c>
      <c r="E197" s="69"/>
      <c r="F197" s="69"/>
      <c r="G197" s="69"/>
      <c r="H197" s="69"/>
      <c r="I197" s="69"/>
      <c r="J197" s="69"/>
      <c r="K197" s="69"/>
      <c r="L197" s="69"/>
      <c r="M197" s="69"/>
      <c r="N197" s="69"/>
      <c r="O197" s="69"/>
      <c r="P197" s="69"/>
      <c r="Q197" s="69"/>
      <c r="R197" s="69"/>
      <c r="S197" s="69"/>
      <c r="T197" s="145"/>
      <c r="U197" s="145"/>
    </row>
    <row r="198" spans="1:21" ht="18">
      <c r="A198" s="69"/>
      <c r="B198" s="69"/>
      <c r="C198" s="69">
        <v>100</v>
      </c>
      <c r="D198" s="69" t="s">
        <v>342</v>
      </c>
      <c r="E198" s="69"/>
      <c r="F198" s="69"/>
      <c r="G198" s="69"/>
      <c r="H198" s="69"/>
      <c r="I198" s="69"/>
      <c r="J198" s="69"/>
      <c r="K198" s="69"/>
      <c r="L198" s="69"/>
      <c r="M198" s="69"/>
      <c r="N198" s="69"/>
      <c r="O198" s="69"/>
      <c r="P198" s="69"/>
      <c r="Q198" s="69"/>
      <c r="R198" s="69"/>
      <c r="S198" s="69"/>
      <c r="T198" s="145"/>
      <c r="U198" s="145"/>
    </row>
    <row r="199" spans="1:21" ht="18">
      <c r="A199" s="69"/>
      <c r="B199" s="69"/>
      <c r="C199" s="69">
        <v>150</v>
      </c>
      <c r="D199" s="69" t="s">
        <v>343</v>
      </c>
      <c r="E199" s="69"/>
      <c r="F199" s="69"/>
      <c r="G199" s="69"/>
      <c r="H199" s="69"/>
      <c r="I199" s="69"/>
      <c r="J199" s="69"/>
      <c r="K199" s="69"/>
      <c r="L199" s="69"/>
      <c r="M199" s="69"/>
      <c r="N199" s="69"/>
      <c r="O199" s="69"/>
      <c r="P199" s="69"/>
      <c r="Q199" s="69"/>
      <c r="R199" s="69"/>
      <c r="S199" s="69"/>
      <c r="T199" s="145"/>
      <c r="U199" s="145"/>
    </row>
    <row r="200" spans="1:21" ht="18">
      <c r="A200" s="69"/>
      <c r="B200" s="69"/>
      <c r="C200" s="69">
        <v>200</v>
      </c>
      <c r="D200" s="69" t="s">
        <v>330</v>
      </c>
      <c r="E200" s="69"/>
      <c r="F200" s="69"/>
      <c r="G200" s="69"/>
      <c r="H200" s="69"/>
      <c r="I200" s="69"/>
      <c r="J200" s="69"/>
      <c r="K200" s="69"/>
      <c r="L200" s="69"/>
      <c r="M200" s="69"/>
      <c r="N200" s="69"/>
      <c r="O200" s="69"/>
      <c r="P200" s="69"/>
      <c r="Q200" s="69"/>
      <c r="R200" s="69"/>
      <c r="S200" s="69"/>
      <c r="T200" s="145"/>
      <c r="U200" s="145"/>
    </row>
    <row r="201" spans="1:21" ht="37.5" customHeight="1">
      <c r="A201" s="69"/>
      <c r="B201" s="69"/>
      <c r="C201" s="69" t="s">
        <v>362</v>
      </c>
      <c r="D201" s="69" t="s">
        <v>363</v>
      </c>
      <c r="E201" s="69"/>
      <c r="F201" s="69"/>
      <c r="G201" s="69"/>
      <c r="H201" s="69"/>
      <c r="I201" s="69"/>
      <c r="J201" s="69"/>
      <c r="K201" s="69"/>
      <c r="L201" s="69"/>
      <c r="M201" s="69"/>
      <c r="N201" s="69"/>
      <c r="O201" s="69"/>
      <c r="P201" s="69"/>
      <c r="Q201" s="69"/>
      <c r="R201" s="69"/>
      <c r="S201" s="69" t="s">
        <v>349</v>
      </c>
      <c r="T201" s="145" t="s">
        <v>174</v>
      </c>
      <c r="U201" s="145" t="s">
        <v>362</v>
      </c>
    </row>
    <row r="202" spans="1:21" ht="26.25" customHeight="1">
      <c r="A202" s="69"/>
      <c r="B202" s="69"/>
      <c r="C202" s="92" t="s">
        <v>348</v>
      </c>
      <c r="D202" s="69" t="s">
        <v>365</v>
      </c>
      <c r="E202" s="69"/>
      <c r="F202" s="69"/>
      <c r="G202" s="69"/>
      <c r="H202" s="69"/>
      <c r="I202" s="69"/>
      <c r="J202" s="69"/>
      <c r="K202" s="69"/>
      <c r="L202" s="69"/>
      <c r="M202" s="69"/>
      <c r="N202" s="69"/>
      <c r="O202" s="69"/>
      <c r="P202" s="69"/>
      <c r="Q202" s="69"/>
      <c r="R202" s="69"/>
      <c r="S202" s="69"/>
      <c r="T202" s="145"/>
      <c r="U202" s="145"/>
    </row>
    <row r="203" spans="1:21" ht="27.75" customHeight="1">
      <c r="A203" s="69"/>
      <c r="B203" s="69"/>
      <c r="C203" s="69" t="s">
        <v>362</v>
      </c>
      <c r="D203" s="69" t="s">
        <v>363</v>
      </c>
      <c r="E203" s="69"/>
      <c r="F203" s="69"/>
      <c r="G203" s="69"/>
      <c r="H203" s="69"/>
      <c r="I203" s="69"/>
      <c r="J203" s="69"/>
      <c r="K203" s="69"/>
      <c r="L203" s="69"/>
      <c r="M203" s="69"/>
      <c r="N203" s="69"/>
      <c r="O203" s="69"/>
      <c r="P203" s="69"/>
      <c r="Q203" s="69"/>
      <c r="R203" s="69"/>
      <c r="S203" s="69" t="s">
        <v>350</v>
      </c>
      <c r="T203" s="145" t="s">
        <v>174</v>
      </c>
      <c r="U203" s="145" t="s">
        <v>362</v>
      </c>
    </row>
    <row r="204" spans="1:21" ht="27.75" customHeight="1">
      <c r="A204" s="69"/>
      <c r="B204" s="69"/>
      <c r="C204" s="92" t="s">
        <v>348</v>
      </c>
      <c r="D204" s="69" t="s">
        <v>366</v>
      </c>
      <c r="E204" s="69"/>
      <c r="F204" s="69"/>
      <c r="G204" s="69"/>
      <c r="H204" s="69"/>
      <c r="I204" s="69"/>
      <c r="J204" s="69"/>
      <c r="K204" s="69"/>
      <c r="L204" s="69"/>
      <c r="M204" s="69"/>
      <c r="N204" s="69"/>
      <c r="O204" s="69"/>
      <c r="P204" s="69"/>
      <c r="Q204" s="69"/>
      <c r="R204" s="69"/>
      <c r="S204" s="69"/>
      <c r="T204" s="145"/>
      <c r="U204" s="145"/>
    </row>
    <row r="205" spans="1:21" ht="28.5" customHeight="1">
      <c r="A205" s="69"/>
      <c r="B205" s="69"/>
      <c r="C205" s="69" t="s">
        <v>362</v>
      </c>
      <c r="D205" s="69" t="s">
        <v>363</v>
      </c>
      <c r="E205" s="69"/>
      <c r="F205" s="69"/>
      <c r="G205" s="69"/>
      <c r="H205" s="69"/>
      <c r="I205" s="69"/>
      <c r="J205" s="69"/>
      <c r="K205" s="69"/>
      <c r="L205" s="69"/>
      <c r="M205" s="69"/>
      <c r="N205" s="69"/>
      <c r="O205" s="69"/>
      <c r="P205" s="69"/>
      <c r="Q205" s="69"/>
      <c r="R205" s="69"/>
      <c r="S205" s="69" t="s">
        <v>351</v>
      </c>
      <c r="T205" s="145" t="s">
        <v>174</v>
      </c>
      <c r="U205" s="145" t="s">
        <v>362</v>
      </c>
    </row>
    <row r="206" spans="1:21" ht="27" customHeight="1">
      <c r="A206" s="69"/>
      <c r="B206" s="69"/>
      <c r="C206" s="69" t="s">
        <v>351</v>
      </c>
      <c r="D206" s="69" t="s">
        <v>367</v>
      </c>
      <c r="E206" s="69"/>
      <c r="F206" s="69"/>
      <c r="G206" s="69"/>
      <c r="H206" s="69"/>
      <c r="I206" s="69"/>
      <c r="J206" s="69"/>
      <c r="K206" s="69"/>
      <c r="L206" s="69"/>
      <c r="M206" s="69"/>
      <c r="N206" s="69"/>
      <c r="O206" s="69"/>
      <c r="P206" s="69"/>
      <c r="Q206" s="69"/>
      <c r="R206" s="69"/>
      <c r="S206" s="69" t="s">
        <v>355</v>
      </c>
      <c r="T206" s="145"/>
      <c r="U206" s="145"/>
    </row>
    <row r="207" spans="1:21" ht="21" customHeight="1">
      <c r="A207" s="69"/>
      <c r="B207" s="69"/>
      <c r="C207" s="69" t="s">
        <v>355</v>
      </c>
      <c r="D207" s="69" t="s">
        <v>367</v>
      </c>
      <c r="E207" s="69"/>
      <c r="F207" s="69"/>
      <c r="G207" s="69"/>
      <c r="H207" s="69"/>
      <c r="I207" s="69"/>
      <c r="J207" s="69"/>
      <c r="K207" s="69"/>
      <c r="L207" s="69"/>
      <c r="M207" s="69"/>
      <c r="N207" s="69"/>
      <c r="O207" s="69"/>
      <c r="P207" s="69"/>
      <c r="Q207" s="69"/>
      <c r="R207" s="69"/>
      <c r="S207" s="69"/>
      <c r="T207" s="145"/>
      <c r="U207" s="145"/>
    </row>
    <row r="208" spans="1:21" ht="26.25" customHeight="1">
      <c r="A208" s="69"/>
      <c r="B208" s="69"/>
      <c r="C208" s="69" t="s">
        <v>362</v>
      </c>
      <c r="D208" s="69" t="s">
        <v>363</v>
      </c>
      <c r="E208" s="69"/>
      <c r="F208" s="69"/>
      <c r="G208" s="69"/>
      <c r="H208" s="69"/>
      <c r="I208" s="69"/>
      <c r="J208" s="69"/>
      <c r="K208" s="69"/>
      <c r="L208" s="69"/>
      <c r="M208" s="69"/>
      <c r="N208" s="69"/>
      <c r="O208" s="69"/>
      <c r="P208" s="69"/>
      <c r="Q208" s="69"/>
      <c r="R208" s="69"/>
      <c r="S208" s="69" t="s">
        <v>352</v>
      </c>
      <c r="T208" s="145" t="s">
        <v>174</v>
      </c>
      <c r="U208" s="145" t="s">
        <v>362</v>
      </c>
    </row>
    <row r="209" spans="1:21" ht="24" customHeight="1">
      <c r="A209" s="69"/>
      <c r="B209" s="69"/>
      <c r="C209" s="69" t="s">
        <v>352</v>
      </c>
      <c r="D209" s="69" t="s">
        <v>368</v>
      </c>
      <c r="E209" s="69"/>
      <c r="F209" s="69"/>
      <c r="G209" s="69"/>
      <c r="H209" s="69"/>
      <c r="I209" s="69"/>
      <c r="J209" s="69"/>
      <c r="K209" s="69"/>
      <c r="L209" s="69"/>
      <c r="M209" s="69"/>
      <c r="N209" s="69"/>
      <c r="O209" s="69"/>
      <c r="P209" s="69"/>
      <c r="Q209" s="69"/>
      <c r="R209" s="69"/>
      <c r="S209" s="69" t="s">
        <v>356</v>
      </c>
      <c r="T209" s="145"/>
      <c r="U209" s="145"/>
    </row>
    <row r="210" spans="1:21" ht="24" customHeight="1">
      <c r="A210" s="69"/>
      <c r="B210" s="69"/>
      <c r="C210" s="69" t="s">
        <v>356</v>
      </c>
      <c r="D210" s="69" t="s">
        <v>368</v>
      </c>
      <c r="E210" s="69"/>
      <c r="F210" s="69"/>
      <c r="G210" s="69"/>
      <c r="H210" s="69"/>
      <c r="I210" s="69"/>
      <c r="J210" s="69"/>
      <c r="K210" s="69"/>
      <c r="L210" s="69"/>
      <c r="M210" s="69"/>
      <c r="N210" s="69"/>
      <c r="O210" s="69"/>
      <c r="P210" s="69"/>
      <c r="Q210" s="69"/>
      <c r="R210" s="69"/>
      <c r="S210" s="69"/>
      <c r="T210" s="145"/>
      <c r="U210" s="145"/>
    </row>
    <row r="211" spans="1:21" ht="24" customHeight="1">
      <c r="A211" s="69"/>
      <c r="B211" s="69"/>
      <c r="C211" s="69" t="s">
        <v>362</v>
      </c>
      <c r="D211" s="69" t="s">
        <v>363</v>
      </c>
      <c r="E211" s="69"/>
      <c r="F211" s="69"/>
      <c r="G211" s="69"/>
      <c r="H211" s="69"/>
      <c r="I211" s="69"/>
      <c r="J211" s="69"/>
      <c r="K211" s="69"/>
      <c r="L211" s="69"/>
      <c r="M211" s="69"/>
      <c r="N211" s="69"/>
      <c r="O211" s="69"/>
      <c r="P211" s="69"/>
      <c r="Q211" s="69"/>
      <c r="R211" s="69"/>
      <c r="S211" s="69" t="s">
        <v>354</v>
      </c>
      <c r="T211" s="145" t="s">
        <v>174</v>
      </c>
      <c r="U211" s="145" t="s">
        <v>362</v>
      </c>
    </row>
    <row r="212" spans="1:21" ht="22.5" customHeight="1">
      <c r="A212" s="69"/>
      <c r="B212" s="69"/>
      <c r="C212" s="69" t="s">
        <v>354</v>
      </c>
      <c r="D212" s="69" t="s">
        <v>369</v>
      </c>
      <c r="E212" s="69"/>
      <c r="F212" s="69"/>
      <c r="G212" s="69"/>
      <c r="H212" s="69"/>
      <c r="I212" s="69"/>
      <c r="J212" s="69"/>
      <c r="K212" s="69"/>
      <c r="L212" s="69"/>
      <c r="M212" s="69"/>
      <c r="N212" s="69"/>
      <c r="O212" s="69"/>
      <c r="P212" s="69"/>
      <c r="Q212" s="69"/>
      <c r="R212" s="69"/>
      <c r="S212" s="69" t="s">
        <v>357</v>
      </c>
      <c r="T212" s="145"/>
      <c r="U212" s="145"/>
    </row>
    <row r="213" spans="1:21" ht="16.5" customHeight="1">
      <c r="A213" s="69"/>
      <c r="B213" s="69"/>
      <c r="C213" s="69" t="s">
        <v>357</v>
      </c>
      <c r="D213" s="69" t="s">
        <v>369</v>
      </c>
      <c r="E213" s="69"/>
      <c r="F213" s="69"/>
      <c r="G213" s="69"/>
      <c r="H213" s="69"/>
      <c r="I213" s="69"/>
      <c r="J213" s="69"/>
      <c r="K213" s="69"/>
      <c r="L213" s="69"/>
      <c r="M213" s="69"/>
      <c r="N213" s="69"/>
      <c r="O213" s="69"/>
      <c r="P213" s="69"/>
      <c r="Q213" s="69"/>
      <c r="R213" s="69"/>
      <c r="S213" s="69"/>
      <c r="T213" s="145"/>
      <c r="U213" s="145"/>
    </row>
    <row r="214" spans="1:21" ht="16.5" customHeight="1">
      <c r="A214" s="69"/>
      <c r="B214" s="69"/>
      <c r="C214" s="69" t="s">
        <v>362</v>
      </c>
      <c r="D214" s="69" t="s">
        <v>363</v>
      </c>
      <c r="E214" s="69"/>
      <c r="F214" s="69"/>
      <c r="G214" s="69"/>
      <c r="H214" s="69"/>
      <c r="I214" s="69"/>
      <c r="J214" s="69"/>
      <c r="K214" s="69"/>
      <c r="L214" s="69"/>
      <c r="M214" s="69"/>
      <c r="N214" s="69"/>
      <c r="O214" s="69"/>
      <c r="P214" s="69"/>
      <c r="Q214" s="69"/>
      <c r="R214" s="69"/>
      <c r="S214" s="69" t="s">
        <v>353</v>
      </c>
      <c r="T214" s="145" t="s">
        <v>174</v>
      </c>
      <c r="U214" s="145" t="s">
        <v>362</v>
      </c>
    </row>
    <row r="215" spans="1:21" ht="15.75" customHeight="1">
      <c r="A215" s="69"/>
      <c r="B215" s="69"/>
      <c r="C215" s="69" t="s">
        <v>353</v>
      </c>
      <c r="D215" s="69" t="s">
        <v>370</v>
      </c>
      <c r="E215" s="69"/>
      <c r="F215" s="69"/>
      <c r="G215" s="69"/>
      <c r="H215" s="69"/>
      <c r="I215" s="69"/>
      <c r="J215" s="69"/>
      <c r="K215" s="69"/>
      <c r="L215" s="69"/>
      <c r="M215" s="69"/>
      <c r="N215" s="69"/>
      <c r="O215" s="69"/>
      <c r="P215" s="69"/>
      <c r="Q215" s="69"/>
      <c r="R215" s="69"/>
      <c r="S215" s="69" t="s">
        <v>358</v>
      </c>
      <c r="T215" s="145"/>
      <c r="U215" s="145"/>
    </row>
    <row r="216" spans="1:21" ht="17.25" customHeight="1">
      <c r="A216" s="69"/>
      <c r="B216" s="69"/>
      <c r="C216" s="69" t="s">
        <v>358</v>
      </c>
      <c r="D216" s="69" t="s">
        <v>370</v>
      </c>
      <c r="E216" s="69"/>
      <c r="F216" s="69"/>
      <c r="G216" s="69"/>
      <c r="H216" s="69"/>
      <c r="I216" s="69"/>
      <c r="J216" s="69"/>
      <c r="K216" s="69"/>
      <c r="L216" s="69"/>
      <c r="M216" s="69"/>
      <c r="N216" s="69"/>
      <c r="O216" s="69"/>
      <c r="P216" s="69"/>
      <c r="Q216" s="69"/>
      <c r="R216" s="69"/>
      <c r="S216" s="69"/>
      <c r="T216" s="145"/>
      <c r="U216" s="145"/>
    </row>
    <row r="217" spans="1:21" ht="18">
      <c r="A217" s="69"/>
      <c r="B217" s="69"/>
      <c r="C217" s="69" t="s">
        <v>362</v>
      </c>
      <c r="D217" s="69" t="s">
        <v>363</v>
      </c>
      <c r="E217" s="69"/>
      <c r="F217" s="69"/>
      <c r="G217" s="69"/>
      <c r="H217" s="69"/>
      <c r="I217" s="69"/>
      <c r="J217" s="69"/>
      <c r="K217" s="69"/>
      <c r="L217" s="69"/>
      <c r="M217" s="69"/>
      <c r="N217" s="69"/>
      <c r="O217" s="69"/>
      <c r="P217" s="69"/>
      <c r="Q217" s="69"/>
      <c r="R217" s="69"/>
      <c r="S217" s="69" t="s">
        <v>364</v>
      </c>
      <c r="T217" s="145" t="s">
        <v>174</v>
      </c>
      <c r="U217" s="145" t="s">
        <v>362</v>
      </c>
    </row>
    <row r="218" spans="1:21" ht="18">
      <c r="A218" s="69"/>
      <c r="B218" s="69"/>
      <c r="C218" s="69" t="s">
        <v>364</v>
      </c>
      <c r="D218" s="69" t="s">
        <v>371</v>
      </c>
      <c r="E218" s="69"/>
      <c r="F218" s="69"/>
      <c r="G218" s="69"/>
      <c r="H218" s="69"/>
      <c r="I218" s="69"/>
      <c r="J218" s="69"/>
      <c r="K218" s="69"/>
      <c r="L218" s="69"/>
      <c r="M218" s="69"/>
      <c r="N218" s="69"/>
      <c r="O218" s="69"/>
      <c r="P218" s="69"/>
      <c r="Q218" s="69"/>
      <c r="R218" s="69"/>
      <c r="S218" s="69" t="s">
        <v>359</v>
      </c>
      <c r="T218" s="145"/>
      <c r="U218" s="145"/>
    </row>
    <row r="219" spans="1:21" ht="18">
      <c r="A219" s="69"/>
      <c r="B219" s="69"/>
      <c r="C219" s="69" t="s">
        <v>359</v>
      </c>
      <c r="D219" s="69" t="s">
        <v>371</v>
      </c>
      <c r="E219" s="69"/>
      <c r="F219" s="69"/>
      <c r="G219" s="69"/>
      <c r="H219" s="69"/>
      <c r="I219" s="69"/>
      <c r="J219" s="69"/>
      <c r="K219" s="69"/>
      <c r="L219" s="69"/>
      <c r="M219" s="69"/>
      <c r="N219" s="69"/>
      <c r="O219" s="69"/>
      <c r="P219" s="69"/>
      <c r="Q219" s="69"/>
      <c r="R219" s="69"/>
      <c r="S219" s="69" t="s">
        <v>360</v>
      </c>
      <c r="T219" s="145"/>
      <c r="U219" s="145"/>
    </row>
    <row r="220" spans="1:21" ht="18">
      <c r="A220" s="69"/>
      <c r="B220" s="69"/>
      <c r="C220" s="69" t="s">
        <v>360</v>
      </c>
      <c r="D220" s="69" t="s">
        <v>371</v>
      </c>
      <c r="E220" s="69"/>
      <c r="F220" s="69"/>
      <c r="G220" s="69"/>
      <c r="H220" s="69"/>
      <c r="I220" s="69"/>
      <c r="J220" s="69"/>
      <c r="K220" s="69"/>
      <c r="L220" s="69"/>
      <c r="M220" s="69"/>
      <c r="N220" s="69"/>
      <c r="O220" s="69"/>
      <c r="P220" s="69"/>
      <c r="Q220" s="69"/>
      <c r="R220" s="69"/>
      <c r="S220" s="69" t="s">
        <v>361</v>
      </c>
      <c r="T220" s="145"/>
      <c r="U220" s="145"/>
    </row>
    <row r="221" spans="1:21" ht="18">
      <c r="A221" s="69"/>
      <c r="B221" s="69"/>
      <c r="C221" s="69" t="s">
        <v>361</v>
      </c>
      <c r="D221" s="69" t="s">
        <v>371</v>
      </c>
      <c r="E221" s="69"/>
      <c r="F221" s="69"/>
      <c r="G221" s="69"/>
      <c r="H221" s="69"/>
      <c r="I221" s="69"/>
      <c r="J221" s="69"/>
      <c r="K221" s="69"/>
      <c r="L221" s="69"/>
      <c r="M221" s="69"/>
      <c r="N221" s="69"/>
      <c r="O221" s="69"/>
      <c r="P221" s="69"/>
      <c r="Q221" s="69"/>
      <c r="R221" s="69"/>
      <c r="S221" s="69"/>
      <c r="T221" s="145"/>
      <c r="U221" s="145"/>
    </row>
    <row r="222" spans="1:21" ht="12.75" customHeight="1">
      <c r="A222" s="69"/>
      <c r="B222" s="69"/>
      <c r="C222" s="69" t="s">
        <v>391</v>
      </c>
      <c r="D222" s="69" t="s">
        <v>392</v>
      </c>
      <c r="E222" s="69"/>
      <c r="F222" s="69"/>
      <c r="G222" s="69"/>
      <c r="H222" s="69"/>
      <c r="I222" s="69"/>
      <c r="J222" s="69"/>
      <c r="K222" s="69"/>
      <c r="L222" s="69"/>
      <c r="M222" s="69"/>
      <c r="N222" s="69"/>
      <c r="O222" s="69"/>
      <c r="P222" s="69"/>
      <c r="Q222" s="69"/>
      <c r="R222" s="69"/>
      <c r="S222" s="69" t="s">
        <v>372</v>
      </c>
      <c r="T222" s="145" t="s">
        <v>314</v>
      </c>
      <c r="U222" s="145" t="s">
        <v>391</v>
      </c>
    </row>
    <row r="223" spans="1:21" ht="18">
      <c r="A223" s="69"/>
      <c r="B223" s="69"/>
      <c r="C223" s="69">
        <v>15</v>
      </c>
      <c r="D223" s="69" t="s">
        <v>393</v>
      </c>
      <c r="E223" s="69"/>
      <c r="F223" s="69"/>
      <c r="G223" s="69"/>
      <c r="H223" s="69"/>
      <c r="I223" s="69"/>
      <c r="J223" s="69"/>
      <c r="K223" s="69"/>
      <c r="L223" s="69"/>
      <c r="M223" s="69"/>
      <c r="N223" s="69"/>
      <c r="O223" s="69"/>
      <c r="P223" s="69"/>
      <c r="Q223" s="69"/>
      <c r="R223" s="69"/>
      <c r="S223" s="69" t="s">
        <v>373</v>
      </c>
      <c r="T223" s="145"/>
      <c r="U223" s="145"/>
    </row>
    <row r="224" spans="1:21" ht="18">
      <c r="A224" s="69"/>
      <c r="B224" s="69"/>
      <c r="C224" s="69">
        <v>25</v>
      </c>
      <c r="D224" s="69" t="s">
        <v>394</v>
      </c>
      <c r="E224" s="69"/>
      <c r="F224" s="69"/>
      <c r="G224" s="69"/>
      <c r="H224" s="69"/>
      <c r="I224" s="69"/>
      <c r="J224" s="69"/>
      <c r="K224" s="69"/>
      <c r="L224" s="69"/>
      <c r="M224" s="69"/>
      <c r="N224" s="69"/>
      <c r="O224" s="69"/>
      <c r="P224" s="69"/>
      <c r="Q224" s="69"/>
      <c r="R224" s="69"/>
      <c r="S224" s="69" t="s">
        <v>374</v>
      </c>
      <c r="T224" s="145"/>
      <c r="U224" s="145"/>
    </row>
    <row r="225" spans="1:21" ht="18">
      <c r="A225" s="69"/>
      <c r="B225" s="69"/>
      <c r="C225" s="69">
        <v>40</v>
      </c>
      <c r="D225" s="69" t="s">
        <v>395</v>
      </c>
      <c r="E225" s="69"/>
      <c r="F225" s="69"/>
      <c r="G225" s="69"/>
      <c r="H225" s="69"/>
      <c r="I225" s="69"/>
      <c r="J225" s="69"/>
      <c r="K225" s="69"/>
      <c r="L225" s="69"/>
      <c r="M225" s="69"/>
      <c r="N225" s="69"/>
      <c r="O225" s="69"/>
      <c r="P225" s="69"/>
      <c r="Q225" s="69"/>
      <c r="R225" s="69"/>
      <c r="S225" s="69" t="s">
        <v>375</v>
      </c>
      <c r="T225" s="145"/>
      <c r="U225" s="145"/>
    </row>
    <row r="226" spans="1:21" ht="18">
      <c r="A226" s="69"/>
      <c r="B226" s="69"/>
      <c r="C226" s="69">
        <v>50</v>
      </c>
      <c r="D226" s="69" t="s">
        <v>396</v>
      </c>
      <c r="E226" s="69"/>
      <c r="F226" s="69"/>
      <c r="G226" s="69"/>
      <c r="H226" s="69"/>
      <c r="I226" s="69"/>
      <c r="J226" s="69"/>
      <c r="K226" s="69"/>
      <c r="L226" s="69"/>
      <c r="M226" s="69"/>
      <c r="N226" s="69"/>
      <c r="O226" s="69"/>
      <c r="P226" s="69"/>
      <c r="Q226" s="69"/>
      <c r="R226" s="69"/>
      <c r="S226" s="69" t="s">
        <v>376</v>
      </c>
      <c r="T226" s="145"/>
      <c r="U226" s="145"/>
    </row>
    <row r="227" spans="1:21" ht="18">
      <c r="A227" s="69"/>
      <c r="B227" s="69"/>
      <c r="C227" s="69">
        <v>80</v>
      </c>
      <c r="D227" s="69" t="s">
        <v>397</v>
      </c>
      <c r="E227" s="69"/>
      <c r="F227" s="69"/>
      <c r="G227" s="69"/>
      <c r="H227" s="69"/>
      <c r="I227" s="69"/>
      <c r="J227" s="69"/>
      <c r="K227" s="69"/>
      <c r="L227" s="69"/>
      <c r="M227" s="69"/>
      <c r="N227" s="69"/>
      <c r="O227" s="69"/>
      <c r="P227" s="69"/>
      <c r="Q227" s="69"/>
      <c r="R227" s="69"/>
      <c r="S227" s="69" t="s">
        <v>377</v>
      </c>
      <c r="T227" s="145"/>
      <c r="U227" s="145"/>
    </row>
    <row r="228" spans="1:21" ht="18">
      <c r="A228" s="69"/>
      <c r="B228" s="69"/>
      <c r="C228" s="69">
        <v>100</v>
      </c>
      <c r="D228" s="69" t="s">
        <v>398</v>
      </c>
      <c r="E228" s="69"/>
      <c r="F228" s="69"/>
      <c r="G228" s="69"/>
      <c r="H228" s="69"/>
      <c r="I228" s="69"/>
      <c r="J228" s="69"/>
      <c r="K228" s="69"/>
      <c r="L228" s="69"/>
      <c r="M228" s="69"/>
      <c r="N228" s="69"/>
      <c r="O228" s="69"/>
      <c r="P228" s="69"/>
      <c r="Q228" s="69"/>
      <c r="R228" s="69"/>
      <c r="S228" s="69" t="s">
        <v>378</v>
      </c>
      <c r="T228" s="145"/>
      <c r="U228" s="145"/>
    </row>
    <row r="229" spans="1:21" ht="18">
      <c r="A229" s="69"/>
      <c r="B229" s="69"/>
      <c r="C229" s="69">
        <v>150</v>
      </c>
      <c r="D229" s="69" t="s">
        <v>399</v>
      </c>
      <c r="E229" s="69"/>
      <c r="F229" s="69"/>
      <c r="G229" s="69"/>
      <c r="H229" s="69"/>
      <c r="I229" s="69"/>
      <c r="J229" s="69"/>
      <c r="K229" s="69"/>
      <c r="L229" s="69"/>
      <c r="M229" s="69"/>
      <c r="N229" s="69"/>
      <c r="O229" s="69"/>
      <c r="P229" s="69"/>
      <c r="Q229" s="69"/>
      <c r="R229" s="69"/>
      <c r="S229" s="69" t="s">
        <v>379</v>
      </c>
      <c r="T229" s="145"/>
      <c r="U229" s="145"/>
    </row>
    <row r="230" spans="1:21" ht="18">
      <c r="A230" s="69"/>
      <c r="B230" s="69"/>
      <c r="C230" s="69">
        <v>200</v>
      </c>
      <c r="D230" s="69" t="s">
        <v>400</v>
      </c>
      <c r="E230" s="69"/>
      <c r="F230" s="69"/>
      <c r="G230" s="69"/>
      <c r="H230" s="69"/>
      <c r="I230" s="69"/>
      <c r="J230" s="69"/>
      <c r="K230" s="69"/>
      <c r="L230" s="69"/>
      <c r="M230" s="69"/>
      <c r="N230" s="69"/>
      <c r="O230" s="69"/>
      <c r="P230" s="69"/>
      <c r="Q230" s="69"/>
      <c r="R230" s="69"/>
      <c r="S230" s="69" t="s">
        <v>380</v>
      </c>
      <c r="T230" s="145"/>
      <c r="U230" s="145"/>
    </row>
    <row r="231" spans="1:21" ht="18">
      <c r="A231" s="69"/>
      <c r="B231" s="69"/>
      <c r="C231" s="92" t="s">
        <v>348</v>
      </c>
      <c r="D231" s="69"/>
      <c r="E231" s="69"/>
      <c r="F231" s="69"/>
      <c r="G231" s="69"/>
      <c r="H231" s="69"/>
      <c r="I231" s="69"/>
      <c r="J231" s="69"/>
      <c r="K231" s="69"/>
      <c r="L231" s="69"/>
      <c r="M231" s="69"/>
      <c r="N231" s="69"/>
      <c r="O231" s="69"/>
      <c r="P231" s="69"/>
      <c r="Q231" s="69"/>
      <c r="R231" s="69"/>
      <c r="S231" s="69" t="s">
        <v>381</v>
      </c>
      <c r="T231" s="145"/>
      <c r="U231" s="145"/>
    </row>
    <row r="232" spans="1:21" ht="18">
      <c r="A232" s="69"/>
      <c r="B232" s="69"/>
      <c r="C232" s="92" t="s">
        <v>348</v>
      </c>
      <c r="D232" s="69"/>
      <c r="E232" s="69"/>
      <c r="F232" s="69"/>
      <c r="G232" s="69"/>
      <c r="H232" s="69"/>
      <c r="I232" s="69"/>
      <c r="J232" s="69"/>
      <c r="K232" s="69"/>
      <c r="L232" s="69"/>
      <c r="M232" s="69"/>
      <c r="N232" s="69"/>
      <c r="O232" s="69"/>
      <c r="P232" s="69"/>
      <c r="Q232" s="69"/>
      <c r="R232" s="69"/>
      <c r="S232" s="69" t="s">
        <v>382</v>
      </c>
      <c r="T232" s="145"/>
      <c r="U232" s="145"/>
    </row>
    <row r="233" spans="1:21" ht="18">
      <c r="A233" s="69"/>
      <c r="B233" s="69"/>
      <c r="C233" s="92" t="s">
        <v>348</v>
      </c>
      <c r="D233" s="69"/>
      <c r="E233" s="69"/>
      <c r="F233" s="69"/>
      <c r="G233" s="69"/>
      <c r="H233" s="69"/>
      <c r="I233" s="69"/>
      <c r="J233" s="69"/>
      <c r="K233" s="69"/>
      <c r="L233" s="69"/>
      <c r="M233" s="69"/>
      <c r="N233" s="69"/>
      <c r="O233" s="69"/>
      <c r="P233" s="69"/>
      <c r="Q233" s="69"/>
      <c r="R233" s="69"/>
      <c r="S233" s="69" t="s">
        <v>383</v>
      </c>
      <c r="T233" s="145"/>
      <c r="U233" s="145"/>
    </row>
    <row r="234" spans="1:21" ht="18">
      <c r="A234" s="69"/>
      <c r="B234" s="69"/>
      <c r="C234" s="92" t="s">
        <v>348</v>
      </c>
      <c r="D234" s="69"/>
      <c r="E234" s="69"/>
      <c r="F234" s="69"/>
      <c r="G234" s="69"/>
      <c r="H234" s="69"/>
      <c r="I234" s="69"/>
      <c r="J234" s="69"/>
      <c r="K234" s="69"/>
      <c r="L234" s="69"/>
      <c r="M234" s="69"/>
      <c r="N234" s="69"/>
      <c r="O234" s="69"/>
      <c r="P234" s="69"/>
      <c r="Q234" s="69"/>
      <c r="R234" s="69"/>
      <c r="S234" s="69" t="s">
        <v>384</v>
      </c>
      <c r="T234" s="145"/>
      <c r="U234" s="145"/>
    </row>
    <row r="235" spans="1:21" ht="18">
      <c r="A235" s="69"/>
      <c r="B235" s="69"/>
      <c r="C235" s="92" t="s">
        <v>348</v>
      </c>
      <c r="D235" s="69"/>
      <c r="E235" s="69"/>
      <c r="F235" s="69"/>
      <c r="G235" s="69"/>
      <c r="H235" s="69"/>
      <c r="I235" s="69"/>
      <c r="J235" s="69"/>
      <c r="K235" s="69"/>
      <c r="L235" s="69"/>
      <c r="M235" s="69"/>
      <c r="N235" s="69"/>
      <c r="O235" s="69"/>
      <c r="P235" s="69"/>
      <c r="Q235" s="69"/>
      <c r="R235" s="69"/>
      <c r="S235" s="69" t="s">
        <v>385</v>
      </c>
      <c r="T235" s="145"/>
      <c r="U235" s="145"/>
    </row>
    <row r="236" spans="1:21" ht="18">
      <c r="A236" s="69"/>
      <c r="B236" s="69"/>
      <c r="C236" s="92" t="s">
        <v>348</v>
      </c>
      <c r="D236" s="69"/>
      <c r="E236" s="69"/>
      <c r="F236" s="69"/>
      <c r="G236" s="69"/>
      <c r="H236" s="69"/>
      <c r="I236" s="69"/>
      <c r="J236" s="69"/>
      <c r="K236" s="69"/>
      <c r="L236" s="69"/>
      <c r="M236" s="69"/>
      <c r="N236" s="69"/>
      <c r="O236" s="69"/>
      <c r="P236" s="69"/>
      <c r="Q236" s="69"/>
      <c r="R236" s="69"/>
      <c r="S236" s="69" t="s">
        <v>386</v>
      </c>
      <c r="T236" s="145"/>
      <c r="U236" s="145"/>
    </row>
    <row r="237" spans="1:21" ht="18">
      <c r="A237" s="69"/>
      <c r="B237" s="69"/>
      <c r="C237" s="92" t="s">
        <v>348</v>
      </c>
      <c r="D237" s="69"/>
      <c r="E237" s="69"/>
      <c r="F237" s="69"/>
      <c r="G237" s="69"/>
      <c r="H237" s="69"/>
      <c r="I237" s="69"/>
      <c r="J237" s="69"/>
      <c r="K237" s="69"/>
      <c r="L237" s="69"/>
      <c r="M237" s="69"/>
      <c r="N237" s="69"/>
      <c r="O237" s="69"/>
      <c r="P237" s="69"/>
      <c r="Q237" s="69"/>
      <c r="R237" s="69"/>
      <c r="S237" s="69" t="s">
        <v>387</v>
      </c>
      <c r="T237" s="145"/>
      <c r="U237" s="145"/>
    </row>
    <row r="238" spans="1:21" ht="18">
      <c r="A238" s="69"/>
      <c r="B238" s="69"/>
      <c r="C238" s="92" t="s">
        <v>348</v>
      </c>
      <c r="D238" s="69"/>
      <c r="E238" s="69"/>
      <c r="F238" s="69"/>
      <c r="G238" s="69"/>
      <c r="H238" s="69"/>
      <c r="I238" s="69"/>
      <c r="J238" s="69"/>
      <c r="K238" s="69"/>
      <c r="L238" s="69"/>
      <c r="M238" s="69"/>
      <c r="N238" s="69"/>
      <c r="O238" s="69"/>
      <c r="P238" s="69"/>
      <c r="Q238" s="69"/>
      <c r="R238" s="69"/>
      <c r="S238" s="69" t="s">
        <v>388</v>
      </c>
      <c r="T238" s="145"/>
      <c r="U238" s="145"/>
    </row>
    <row r="239" spans="1:21" ht="18">
      <c r="A239" s="69"/>
      <c r="B239" s="69"/>
      <c r="C239" s="92" t="s">
        <v>348</v>
      </c>
      <c r="D239" s="69"/>
      <c r="E239" s="69"/>
      <c r="F239" s="69"/>
      <c r="G239" s="69"/>
      <c r="H239" s="69"/>
      <c r="I239" s="69"/>
      <c r="J239" s="69"/>
      <c r="K239" s="69"/>
      <c r="L239" s="69"/>
      <c r="M239" s="69"/>
      <c r="N239" s="69"/>
      <c r="O239" s="69"/>
      <c r="P239" s="69"/>
      <c r="Q239" s="69"/>
      <c r="R239" s="69"/>
      <c r="S239" s="69" t="s">
        <v>389</v>
      </c>
      <c r="T239" s="145"/>
      <c r="U239" s="145"/>
    </row>
    <row r="240" spans="1:21" ht="18">
      <c r="A240" s="69"/>
      <c r="B240" s="69"/>
      <c r="C240" s="92" t="s">
        <v>348</v>
      </c>
      <c r="D240" s="69"/>
      <c r="E240" s="69"/>
      <c r="F240" s="69"/>
      <c r="G240" s="69"/>
      <c r="H240" s="69"/>
      <c r="I240" s="69"/>
      <c r="J240" s="69"/>
      <c r="K240" s="69"/>
      <c r="L240" s="69"/>
      <c r="M240" s="69"/>
      <c r="N240" s="69"/>
      <c r="O240" s="69"/>
      <c r="P240" s="69"/>
      <c r="Q240" s="69"/>
      <c r="R240" s="69"/>
      <c r="S240" s="69" t="s">
        <v>390</v>
      </c>
      <c r="T240" s="145"/>
      <c r="U240" s="145"/>
    </row>
    <row r="241" spans="1:21" ht="18">
      <c r="A241" s="69"/>
      <c r="B241" s="69"/>
      <c r="C241" s="69" t="s">
        <v>401</v>
      </c>
      <c r="D241" s="69" t="s">
        <v>402</v>
      </c>
      <c r="E241" s="69"/>
      <c r="F241" s="69"/>
      <c r="G241" s="69"/>
      <c r="H241" s="69"/>
      <c r="I241" s="69"/>
      <c r="J241" s="69"/>
      <c r="K241" s="69"/>
      <c r="L241" s="69"/>
      <c r="M241" s="69"/>
      <c r="N241" s="69"/>
      <c r="O241" s="69"/>
      <c r="P241" s="69"/>
      <c r="Q241" s="69"/>
      <c r="R241" s="69"/>
      <c r="S241" s="69" t="s">
        <v>403</v>
      </c>
      <c r="T241" s="145" t="s">
        <v>314</v>
      </c>
      <c r="U241" s="145" t="s">
        <v>401</v>
      </c>
    </row>
    <row r="242" spans="1:21" ht="18">
      <c r="A242" s="69"/>
      <c r="B242" s="69"/>
      <c r="C242" s="69">
        <v>15</v>
      </c>
      <c r="D242" s="69" t="s">
        <v>405</v>
      </c>
      <c r="E242" s="69"/>
      <c r="F242" s="69"/>
      <c r="G242" s="69"/>
      <c r="H242" s="69"/>
      <c r="I242" s="69"/>
      <c r="J242" s="69"/>
      <c r="K242" s="69"/>
      <c r="L242" s="69"/>
      <c r="M242" s="69"/>
      <c r="N242" s="69"/>
      <c r="O242" s="69"/>
      <c r="P242" s="69"/>
      <c r="Q242" s="69"/>
      <c r="R242" s="69"/>
      <c r="S242" s="69" t="s">
        <v>404</v>
      </c>
      <c r="T242" s="145"/>
      <c r="U242" s="145"/>
    </row>
    <row r="243" spans="1:21" ht="18">
      <c r="A243" s="69"/>
      <c r="B243" s="69"/>
      <c r="C243" s="69">
        <v>25</v>
      </c>
      <c r="D243" s="69" t="s">
        <v>406</v>
      </c>
      <c r="E243" s="69"/>
      <c r="F243" s="69"/>
      <c r="G243" s="69"/>
      <c r="H243" s="69"/>
      <c r="I243" s="69"/>
      <c r="J243" s="69"/>
      <c r="K243" s="69"/>
      <c r="L243" s="69"/>
      <c r="M243" s="69"/>
      <c r="N243" s="69"/>
      <c r="O243" s="69"/>
      <c r="P243" s="69"/>
      <c r="Q243" s="69"/>
      <c r="R243" s="69"/>
      <c r="S243" s="69"/>
      <c r="T243" s="145"/>
      <c r="U243" s="145"/>
    </row>
    <row r="244" spans="1:21" ht="18">
      <c r="A244" s="69"/>
      <c r="B244" s="69"/>
      <c r="C244" s="69">
        <v>40</v>
      </c>
      <c r="D244" s="69" t="s">
        <v>424</v>
      </c>
      <c r="E244" s="69"/>
      <c r="F244" s="69"/>
      <c r="G244" s="69"/>
      <c r="H244" s="69"/>
      <c r="I244" s="69"/>
      <c r="J244" s="69"/>
      <c r="K244" s="69"/>
      <c r="L244" s="69"/>
      <c r="M244" s="69"/>
      <c r="N244" s="69"/>
      <c r="O244" s="69"/>
      <c r="P244" s="69"/>
      <c r="Q244" s="69"/>
      <c r="R244" s="69"/>
      <c r="S244" s="69"/>
      <c r="T244" s="145"/>
      <c r="U244" s="145"/>
    </row>
    <row r="245" spans="1:21" ht="18">
      <c r="A245" s="69"/>
      <c r="B245" s="69"/>
      <c r="C245" s="69">
        <v>50</v>
      </c>
      <c r="D245" s="69" t="s">
        <v>407</v>
      </c>
      <c r="E245" s="69"/>
      <c r="F245" s="69"/>
      <c r="G245" s="69"/>
      <c r="H245" s="69"/>
      <c r="I245" s="69"/>
      <c r="J245" s="69"/>
      <c r="K245" s="69"/>
      <c r="L245" s="69"/>
      <c r="M245" s="69"/>
      <c r="N245" s="69"/>
      <c r="O245" s="69"/>
      <c r="P245" s="69"/>
      <c r="Q245" s="69"/>
      <c r="R245" s="69"/>
      <c r="S245" s="69"/>
      <c r="T245" s="145"/>
      <c r="U245" s="145"/>
    </row>
    <row r="246" spans="1:21" ht="18">
      <c r="A246" s="69"/>
      <c r="B246" s="69"/>
      <c r="C246" s="69">
        <v>80</v>
      </c>
      <c r="D246" s="69" t="s">
        <v>408</v>
      </c>
      <c r="E246" s="69"/>
      <c r="F246" s="69"/>
      <c r="G246" s="69"/>
      <c r="H246" s="69"/>
      <c r="I246" s="69"/>
      <c r="J246" s="69"/>
      <c r="K246" s="69"/>
      <c r="L246" s="69"/>
      <c r="M246" s="69"/>
      <c r="N246" s="69"/>
      <c r="O246" s="69"/>
      <c r="P246" s="69"/>
      <c r="Q246" s="69"/>
      <c r="R246" s="69"/>
      <c r="S246" s="69"/>
      <c r="T246" s="145"/>
      <c r="U246" s="145"/>
    </row>
    <row r="247" spans="1:21" ht="18">
      <c r="A247" s="69"/>
      <c r="B247" s="69"/>
      <c r="C247" s="69">
        <v>100</v>
      </c>
      <c r="D247" s="69" t="s">
        <v>409</v>
      </c>
      <c r="E247" s="69"/>
      <c r="F247" s="69"/>
      <c r="G247" s="69"/>
      <c r="H247" s="69"/>
      <c r="I247" s="69"/>
      <c r="J247" s="69"/>
      <c r="K247" s="69"/>
      <c r="L247" s="69"/>
      <c r="M247" s="69"/>
      <c r="N247" s="69"/>
      <c r="O247" s="69"/>
      <c r="P247" s="69"/>
      <c r="Q247" s="69"/>
      <c r="R247" s="69"/>
      <c r="S247" s="69"/>
      <c r="T247" s="145"/>
      <c r="U247" s="145"/>
    </row>
    <row r="248" spans="1:21" ht="18">
      <c r="A248" s="69"/>
      <c r="B248" s="69"/>
      <c r="C248" s="69">
        <v>150</v>
      </c>
      <c r="D248" s="69" t="s">
        <v>410</v>
      </c>
      <c r="E248" s="69"/>
      <c r="F248" s="69"/>
      <c r="G248" s="69"/>
      <c r="H248" s="69"/>
      <c r="I248" s="69"/>
      <c r="J248" s="69"/>
      <c r="K248" s="69"/>
      <c r="L248" s="69"/>
      <c r="M248" s="69"/>
      <c r="N248" s="69"/>
      <c r="O248" s="69"/>
      <c r="P248" s="69"/>
      <c r="Q248" s="69"/>
      <c r="R248" s="69"/>
      <c r="S248" s="69"/>
      <c r="T248" s="145"/>
      <c r="U248" s="145"/>
    </row>
    <row r="249" spans="1:21" ht="18">
      <c r="A249" s="69"/>
      <c r="B249" s="69"/>
      <c r="C249" s="69">
        <v>200</v>
      </c>
      <c r="D249" s="69" t="s">
        <v>411</v>
      </c>
      <c r="E249" s="69"/>
      <c r="F249" s="69"/>
      <c r="G249" s="69"/>
      <c r="H249" s="69"/>
      <c r="I249" s="69"/>
      <c r="J249" s="69"/>
      <c r="K249" s="69"/>
      <c r="L249" s="69"/>
      <c r="M249" s="69"/>
      <c r="N249" s="69"/>
      <c r="O249" s="69"/>
      <c r="P249" s="69"/>
      <c r="Q249" s="69"/>
      <c r="R249" s="69"/>
      <c r="S249" s="69"/>
      <c r="T249" s="145"/>
      <c r="U249" s="145"/>
    </row>
    <row r="250" spans="1:21" ht="18">
      <c r="A250" s="69"/>
      <c r="B250" s="69"/>
      <c r="C250" s="69" t="s">
        <v>401</v>
      </c>
      <c r="D250" s="69" t="s">
        <v>402</v>
      </c>
      <c r="E250" s="69"/>
      <c r="F250" s="69"/>
      <c r="G250" s="69"/>
      <c r="H250" s="69"/>
      <c r="I250" s="69"/>
      <c r="J250" s="69"/>
      <c r="K250" s="69"/>
      <c r="L250" s="69"/>
      <c r="M250" s="69"/>
      <c r="N250" s="69"/>
      <c r="O250" s="69"/>
      <c r="P250" s="69"/>
      <c r="Q250" s="69"/>
      <c r="R250" s="69"/>
      <c r="S250" s="69" t="s">
        <v>422</v>
      </c>
      <c r="T250" s="145" t="s">
        <v>314</v>
      </c>
      <c r="U250" s="145" t="s">
        <v>401</v>
      </c>
    </row>
    <row r="251" spans="1:21" ht="18">
      <c r="A251" s="69"/>
      <c r="B251" s="69"/>
      <c r="C251" s="69">
        <v>15</v>
      </c>
      <c r="D251" s="69" t="s">
        <v>412</v>
      </c>
      <c r="E251" s="69"/>
      <c r="F251" s="69"/>
      <c r="G251" s="69"/>
      <c r="H251" s="69"/>
      <c r="I251" s="69"/>
      <c r="J251" s="69"/>
      <c r="K251" s="69"/>
      <c r="L251" s="69"/>
      <c r="M251" s="69"/>
      <c r="N251" s="69"/>
      <c r="O251" s="69"/>
      <c r="P251" s="69"/>
      <c r="Q251" s="69"/>
      <c r="R251" s="69"/>
      <c r="S251" s="69" t="s">
        <v>423</v>
      </c>
      <c r="T251" s="145"/>
      <c r="U251" s="145"/>
    </row>
    <row r="252" spans="1:21" ht="18">
      <c r="A252" s="69"/>
      <c r="B252" s="69"/>
      <c r="C252" s="69">
        <v>20</v>
      </c>
      <c r="D252" s="69" t="s">
        <v>413</v>
      </c>
      <c r="E252" s="69"/>
      <c r="F252" s="69"/>
      <c r="G252" s="69"/>
      <c r="H252" s="69"/>
      <c r="I252" s="69"/>
      <c r="J252" s="69"/>
      <c r="K252" s="69"/>
      <c r="L252" s="69"/>
      <c r="M252" s="69"/>
      <c r="N252" s="69"/>
      <c r="O252" s="69"/>
      <c r="P252" s="69"/>
      <c r="Q252" s="69"/>
      <c r="R252" s="69"/>
      <c r="S252" s="69"/>
      <c r="T252" s="145"/>
      <c r="U252" s="145"/>
    </row>
    <row r="253" spans="1:21" ht="18">
      <c r="A253" s="69"/>
      <c r="B253" s="69"/>
      <c r="C253" s="69">
        <v>25</v>
      </c>
      <c r="D253" s="69" t="s">
        <v>414</v>
      </c>
      <c r="E253" s="69"/>
      <c r="F253" s="69"/>
      <c r="G253" s="69"/>
      <c r="H253" s="69"/>
      <c r="I253" s="69"/>
      <c r="J253" s="69"/>
      <c r="K253" s="69"/>
      <c r="L253" s="69"/>
      <c r="M253" s="69"/>
      <c r="N253" s="69"/>
      <c r="O253" s="69"/>
      <c r="P253" s="69"/>
      <c r="Q253" s="69"/>
      <c r="R253" s="69"/>
      <c r="S253" s="69"/>
      <c r="T253" s="145"/>
      <c r="U253" s="145"/>
    </row>
    <row r="254" spans="1:21" ht="18">
      <c r="A254" s="69"/>
      <c r="B254" s="69"/>
      <c r="C254" s="69">
        <v>32</v>
      </c>
      <c r="D254" s="69" t="s">
        <v>415</v>
      </c>
      <c r="E254" s="69"/>
      <c r="F254" s="69"/>
      <c r="G254" s="69"/>
      <c r="H254" s="69"/>
      <c r="I254" s="69"/>
      <c r="J254" s="69"/>
      <c r="K254" s="69"/>
      <c r="L254" s="69"/>
      <c r="M254" s="69"/>
      <c r="N254" s="69"/>
      <c r="O254" s="69"/>
      <c r="P254" s="69"/>
      <c r="Q254" s="69"/>
      <c r="R254" s="69"/>
      <c r="S254" s="69"/>
      <c r="T254" s="145"/>
      <c r="U254" s="145"/>
    </row>
    <row r="255" spans="1:21" ht="18">
      <c r="A255" s="69"/>
      <c r="B255" s="69"/>
      <c r="C255" s="69">
        <v>40</v>
      </c>
      <c r="D255" s="69" t="s">
        <v>416</v>
      </c>
      <c r="E255" s="69"/>
      <c r="F255" s="69"/>
      <c r="G255" s="69"/>
      <c r="H255" s="69"/>
      <c r="I255" s="69"/>
      <c r="J255" s="69"/>
      <c r="K255" s="69"/>
      <c r="L255" s="69"/>
      <c r="M255" s="69"/>
      <c r="N255" s="69"/>
      <c r="O255" s="69"/>
      <c r="P255" s="69"/>
      <c r="Q255" s="69"/>
      <c r="R255" s="69"/>
      <c r="S255" s="69"/>
      <c r="T255" s="145"/>
      <c r="U255" s="145"/>
    </row>
    <row r="256" spans="1:21" ht="18">
      <c r="A256" s="69"/>
      <c r="B256" s="69"/>
      <c r="C256" s="69">
        <v>50</v>
      </c>
      <c r="D256" s="69" t="s">
        <v>417</v>
      </c>
      <c r="E256" s="69"/>
      <c r="F256" s="69"/>
      <c r="G256" s="69"/>
      <c r="H256" s="69"/>
      <c r="I256" s="69"/>
      <c r="J256" s="69"/>
      <c r="K256" s="69"/>
      <c r="L256" s="69"/>
      <c r="M256" s="69"/>
      <c r="N256" s="69"/>
      <c r="O256" s="69"/>
      <c r="P256" s="69"/>
      <c r="Q256" s="69"/>
      <c r="R256" s="69"/>
      <c r="S256" s="69"/>
      <c r="T256" s="145"/>
      <c r="U256" s="145"/>
    </row>
    <row r="257" spans="1:21" ht="18">
      <c r="A257" s="69"/>
      <c r="B257" s="69"/>
      <c r="C257" s="69">
        <v>80</v>
      </c>
      <c r="D257" s="69" t="s">
        <v>418</v>
      </c>
      <c r="E257" s="69"/>
      <c r="F257" s="69"/>
      <c r="G257" s="69"/>
      <c r="H257" s="69"/>
      <c r="I257" s="69"/>
      <c r="J257" s="69"/>
      <c r="K257" s="69"/>
      <c r="L257" s="69"/>
      <c r="M257" s="69"/>
      <c r="N257" s="69"/>
      <c r="O257" s="69"/>
      <c r="P257" s="69"/>
      <c r="Q257" s="69"/>
      <c r="R257" s="69"/>
      <c r="S257" s="69"/>
      <c r="T257" s="145"/>
      <c r="U257" s="145"/>
    </row>
    <row r="258" spans="1:21" ht="18">
      <c r="A258" s="69"/>
      <c r="B258" s="69"/>
      <c r="C258" s="69">
        <v>100</v>
      </c>
      <c r="D258" s="69" t="s">
        <v>419</v>
      </c>
      <c r="E258" s="69"/>
      <c r="F258" s="69"/>
      <c r="G258" s="69"/>
      <c r="H258" s="69"/>
      <c r="I258" s="69"/>
      <c r="J258" s="69"/>
      <c r="K258" s="69"/>
      <c r="L258" s="69"/>
      <c r="M258" s="69"/>
      <c r="N258" s="69"/>
      <c r="O258" s="69"/>
      <c r="P258" s="69"/>
      <c r="Q258" s="69"/>
      <c r="R258" s="69"/>
      <c r="S258" s="69"/>
      <c r="T258" s="145"/>
      <c r="U258" s="145"/>
    </row>
    <row r="259" spans="1:21" ht="18">
      <c r="A259" s="69"/>
      <c r="B259" s="69"/>
      <c r="C259" s="69">
        <v>150</v>
      </c>
      <c r="D259" s="69" t="s">
        <v>420</v>
      </c>
      <c r="E259" s="69"/>
      <c r="F259" s="69"/>
      <c r="G259" s="69"/>
      <c r="H259" s="69"/>
      <c r="I259" s="69"/>
      <c r="J259" s="69"/>
      <c r="K259" s="69"/>
      <c r="L259" s="69"/>
      <c r="M259" s="69"/>
      <c r="N259" s="69"/>
      <c r="O259" s="69"/>
      <c r="P259" s="69"/>
      <c r="Q259" s="69"/>
      <c r="R259" s="69"/>
      <c r="S259" s="69"/>
      <c r="T259" s="145"/>
      <c r="U259" s="145"/>
    </row>
    <row r="260" spans="1:21" ht="18">
      <c r="A260" s="69"/>
      <c r="B260" s="69"/>
      <c r="C260" s="69">
        <v>200</v>
      </c>
      <c r="D260" s="69" t="s">
        <v>421</v>
      </c>
      <c r="E260" s="69"/>
      <c r="F260" s="69"/>
      <c r="G260" s="69"/>
      <c r="H260" s="69"/>
      <c r="I260" s="69"/>
      <c r="J260" s="69"/>
      <c r="K260" s="69"/>
      <c r="L260" s="69"/>
      <c r="M260" s="69"/>
      <c r="N260" s="69"/>
      <c r="O260" s="69"/>
      <c r="P260" s="69"/>
      <c r="Q260" s="69"/>
      <c r="R260" s="69"/>
      <c r="S260" s="69"/>
      <c r="T260" s="145"/>
      <c r="U260" s="145"/>
    </row>
  </sheetData>
  <sortState xmlns:xlrd2="http://schemas.microsoft.com/office/spreadsheetml/2017/richdata2" ref="A2:A13">
    <sortCondition ref="A1:A13"/>
  </sortState>
  <mergeCells count="95">
    <mergeCell ref="U208:U210"/>
    <mergeCell ref="T115:T119"/>
    <mergeCell ref="U115:U119"/>
    <mergeCell ref="T1:T9"/>
    <mergeCell ref="U1:U9"/>
    <mergeCell ref="T10:T22"/>
    <mergeCell ref="T23:T35"/>
    <mergeCell ref="U10:U22"/>
    <mergeCell ref="U23:U35"/>
    <mergeCell ref="T36:T48"/>
    <mergeCell ref="T49:T58"/>
    <mergeCell ref="T59:T62"/>
    <mergeCell ref="T63:T67"/>
    <mergeCell ref="T68:T76"/>
    <mergeCell ref="T77:T83"/>
    <mergeCell ref="U36:U48"/>
    <mergeCell ref="P3:P5"/>
    <mergeCell ref="L18:M18"/>
    <mergeCell ref="J18:K18"/>
    <mergeCell ref="H18:I18"/>
    <mergeCell ref="H15:I15"/>
    <mergeCell ref="O2:O10"/>
    <mergeCell ref="T208:T210"/>
    <mergeCell ref="L14:M14"/>
    <mergeCell ref="J14:K14"/>
    <mergeCell ref="T84:T89"/>
    <mergeCell ref="T90:T94"/>
    <mergeCell ref="L15:M15"/>
    <mergeCell ref="T95:T99"/>
    <mergeCell ref="T100:T114"/>
    <mergeCell ref="T146:T165"/>
    <mergeCell ref="T192:T200"/>
    <mergeCell ref="T201:T202"/>
    <mergeCell ref="F18:G18"/>
    <mergeCell ref="F12:M12"/>
    <mergeCell ref="H13:I13"/>
    <mergeCell ref="L17:M17"/>
    <mergeCell ref="J17:K17"/>
    <mergeCell ref="H17:I17"/>
    <mergeCell ref="F17:G17"/>
    <mergeCell ref="L16:M16"/>
    <mergeCell ref="J16:K16"/>
    <mergeCell ref="H16:I16"/>
    <mergeCell ref="F16:G16"/>
    <mergeCell ref="F15:G15"/>
    <mergeCell ref="F13:G13"/>
    <mergeCell ref="L13:M13"/>
    <mergeCell ref="F14:G14"/>
    <mergeCell ref="F19:G19"/>
    <mergeCell ref="H19:I19"/>
    <mergeCell ref="J19:K19"/>
    <mergeCell ref="L19:M19"/>
    <mergeCell ref="O22:O33"/>
    <mergeCell ref="U49:U58"/>
    <mergeCell ref="U59:U62"/>
    <mergeCell ref="U63:U67"/>
    <mergeCell ref="U68:U76"/>
    <mergeCell ref="U77:U83"/>
    <mergeCell ref="U84:U89"/>
    <mergeCell ref="U90:U94"/>
    <mergeCell ref="U95:U99"/>
    <mergeCell ref="U100:U114"/>
    <mergeCell ref="T140:T145"/>
    <mergeCell ref="U140:U145"/>
    <mergeCell ref="U146:U165"/>
    <mergeCell ref="T120:T122"/>
    <mergeCell ref="U120:U122"/>
    <mergeCell ref="T123:T131"/>
    <mergeCell ref="U123:U131"/>
    <mergeCell ref="T132:T139"/>
    <mergeCell ref="U132:U139"/>
    <mergeCell ref="U192:U200"/>
    <mergeCell ref="T166:T174"/>
    <mergeCell ref="U166:U174"/>
    <mergeCell ref="T175:T182"/>
    <mergeCell ref="U175:U182"/>
    <mergeCell ref="T183:T191"/>
    <mergeCell ref="U183:U191"/>
    <mergeCell ref="U201:U202"/>
    <mergeCell ref="T203:T204"/>
    <mergeCell ref="U203:U204"/>
    <mergeCell ref="T205:T207"/>
    <mergeCell ref="U205:U207"/>
    <mergeCell ref="T217:T221"/>
    <mergeCell ref="U217:U221"/>
    <mergeCell ref="T214:T216"/>
    <mergeCell ref="U214:U216"/>
    <mergeCell ref="T211:T213"/>
    <mergeCell ref="U211:U213"/>
    <mergeCell ref="T250:T260"/>
    <mergeCell ref="U250:U260"/>
    <mergeCell ref="T222:T240"/>
    <mergeCell ref="U222:U240"/>
    <mergeCell ref="T241:T249"/>
    <mergeCell ref="U241:U249"/>
  </mergeCell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1"/>
  <dimension ref="A1"/>
  <sheetViews>
    <sheetView workbookViewId="0"/>
  </sheetViews>
  <sheetFormatPr baseColWidth="10" defaultColWidth="8.83203125" defaultRowHeight="1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DATAPAGE</vt:lpstr>
      <vt:lpstr>Отчет по объему</vt:lpstr>
      <vt:lpstr>Отчёт по Массе</vt:lpstr>
      <vt:lpstr>Лист1</vt:lpstr>
      <vt:lpstr>Лист2</vt:lpstr>
      <vt:lpstr>'Отчет по объему'!Область_печати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Microsoft Office User</cp:lastModifiedBy>
  <cp:lastPrinted>2019-10-31T07:35:25Z</cp:lastPrinted>
  <dcterms:created xsi:type="dcterms:W3CDTF">1996-10-08T23:32:33Z</dcterms:created>
  <dcterms:modified xsi:type="dcterms:W3CDTF">2020-12-16T13:08:03Z</dcterms:modified>
</cp:coreProperties>
</file>